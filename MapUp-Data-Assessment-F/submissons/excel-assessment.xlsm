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58928EEC-D704-4F78-A4BB-5F2A155244D2}" xr6:coauthVersionLast="47" xr6:coauthVersionMax="47" xr10:uidLastSave="{00000000-0000-0000-0000-000000000000}"/>
  <bookViews>
    <workbookView xWindow="28680" yWindow="-120" windowWidth="38640" windowHeight="211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9" i="20" l="1"/>
  <c r="E30" i="20"/>
  <c r="E31" i="20"/>
  <c r="E35" i="20"/>
  <c r="D24" i="20"/>
  <c r="E24" i="20" s="1"/>
  <c r="D25" i="20"/>
  <c r="D26" i="20"/>
  <c r="D27" i="20"/>
  <c r="D28" i="20"/>
  <c r="D29" i="20"/>
  <c r="D30" i="20"/>
  <c r="D31" i="20"/>
  <c r="D32" i="20"/>
  <c r="D33" i="20"/>
  <c r="D34" i="20"/>
  <c r="D35" i="20"/>
  <c r="C24" i="20"/>
  <c r="C25" i="20"/>
  <c r="E25" i="20" s="1"/>
  <c r="C26" i="20"/>
  <c r="E26" i="20" s="1"/>
  <c r="C27" i="20"/>
  <c r="E27" i="20" s="1"/>
  <c r="C28" i="20"/>
  <c r="E28" i="20" s="1"/>
  <c r="C29" i="20"/>
  <c r="C30" i="20"/>
  <c r="C31" i="20"/>
  <c r="C32" i="20"/>
  <c r="E32" i="20" s="1"/>
  <c r="C33" i="20"/>
  <c r="E33" i="20" s="1"/>
  <c r="C34" i="20"/>
  <c r="E34" i="20" s="1"/>
  <c r="C35" i="20"/>
  <c r="D23" i="20"/>
  <c r="C23" i="20"/>
  <c r="E23" i="20" s="1"/>
  <c r="C5" i="15"/>
  <c r="B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E17" i="16"/>
  <c r="D17" i="16"/>
  <c r="C17" i="16"/>
  <c r="F17" i="16"/>
  <c r="D13" i="19"/>
  <c r="D14" i="19"/>
  <c r="D15" i="19"/>
  <c r="D16" i="19"/>
  <c r="D17" i="19"/>
  <c r="D18" i="19"/>
  <c r="D19" i="19"/>
  <c r="D20" i="19"/>
  <c r="D21" i="19"/>
  <c r="D12" i="19"/>
  <c r="D22" i="19" s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"/>
  <c r="F30" i="1" s="1"/>
  <c r="F6" i="15"/>
  <c r="F29" i="15" s="1"/>
  <c r="F6" i="18"/>
  <c r="F28" i="18" s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7" i="15"/>
  <c r="E8" i="15"/>
  <c r="E9" i="15"/>
  <c r="E10" i="15"/>
  <c r="E11" i="15"/>
  <c r="E12" i="15"/>
  <c r="E13" i="15"/>
  <c r="E14" i="15"/>
  <c r="E15" i="15"/>
  <c r="E16" i="15"/>
  <c r="E17" i="15"/>
  <c r="E28" i="15" s="1"/>
  <c r="E18" i="15"/>
  <c r="E19" i="15"/>
  <c r="E20" i="15"/>
  <c r="E21" i="15"/>
  <c r="E22" i="15"/>
  <c r="E23" i="15"/>
  <c r="E24" i="15"/>
  <c r="E25" i="15"/>
  <c r="E26" i="15"/>
  <c r="E27" i="15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"/>
  <c r="E29" i="1" s="1"/>
  <c r="E6" i="15"/>
  <c r="E29" i="15" s="1"/>
  <c r="E6" i="18"/>
  <c r="E28" i="18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9" i="1" s="1"/>
  <c r="D20" i="1"/>
  <c r="D21" i="1"/>
  <c r="D22" i="1"/>
  <c r="D23" i="1"/>
  <c r="D24" i="1"/>
  <c r="D25" i="1"/>
  <c r="D26" i="1"/>
  <c r="D27" i="1"/>
  <c r="D7" i="15"/>
  <c r="D8" i="15"/>
  <c r="D9" i="15"/>
  <c r="D10" i="15"/>
  <c r="D11" i="15"/>
  <c r="D12" i="15"/>
  <c r="D13" i="15"/>
  <c r="D14" i="15"/>
  <c r="D28" i="15" s="1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"/>
  <c r="D30" i="1" s="1"/>
  <c r="D6" i="15"/>
  <c r="D29" i="15" s="1"/>
  <c r="D6" i="18"/>
  <c r="D28" i="18" s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"/>
  <c r="C30" i="1" s="1"/>
  <c r="C6" i="15"/>
  <c r="C29" i="15" s="1"/>
  <c r="C6" i="18"/>
  <c r="C28" i="18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"/>
  <c r="B30" i="1" s="1"/>
  <c r="B6" i="15"/>
  <c r="B30" i="15" s="1"/>
  <c r="B6" i="18"/>
  <c r="B30" i="18" s="1"/>
  <c r="F28" i="15" l="1"/>
  <c r="F29" i="1"/>
  <c r="B28" i="18"/>
  <c r="C28" i="15"/>
  <c r="C29" i="1"/>
  <c r="B28" i="15"/>
  <c r="F28" i="1"/>
  <c r="F30" i="18"/>
  <c r="B28" i="1"/>
  <c r="E28" i="1"/>
  <c r="E30" i="18"/>
  <c r="B29" i="18"/>
  <c r="D28" i="1"/>
  <c r="D30" i="18"/>
  <c r="B29" i="15"/>
  <c r="C28" i="1"/>
  <c r="C30" i="18"/>
  <c r="B29" i="1"/>
  <c r="F29" i="18"/>
  <c r="F30" i="15"/>
  <c r="E29" i="18"/>
  <c r="E30" i="15"/>
  <c r="D29" i="18"/>
  <c r="D30" i="15"/>
  <c r="C29" i="18"/>
  <c r="C30" i="15"/>
  <c r="E30" i="1"/>
</calcChain>
</file>

<file path=xl/sharedStrings.xml><?xml version="1.0" encoding="utf-8"?>
<sst xmlns="http://schemas.openxmlformats.org/spreadsheetml/2006/main" count="284" uniqueCount="189">
  <si>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</si>
  <si>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</si>
  <si>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</si>
  <si>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</si>
  <si>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</si>
  <si>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</si>
  <si>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</si>
  <si>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</si>
  <si>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</si>
  <si>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</si>
  <si>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</si>
  <si>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</si>
  <si>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</si>
  <si>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</si>
  <si>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</si>
  <si>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</si>
  <si>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</si>
  <si>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</si>
  <si>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</si>
  <si>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</si>
  <si>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</si>
  <si>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</si>
  <si>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</si>
  <si>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</si>
  <si>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</si>
  <si>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</si>
  <si>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</si>
  <si>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</si>
  <si>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</si>
  <si>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</si>
  <si>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</si>
  <si>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</si>
  <si>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</si>
  <si>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</si>
  <si>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</si>
  <si>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</si>
  <si>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</si>
  <si>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</si>
  <si>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</si>
  <si>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</si>
  <si>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</si>
  <si>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</si>
  <si>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</si>
  <si>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</si>
  <si>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</si>
  <si>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</si>
  <si>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</si>
  <si>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</si>
  <si>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</si>
  <si>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</si>
  <si>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</si>
  <si>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</si>
  <si>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</si>
  <si>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</si>
  <si>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</si>
  <si>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</si>
  <si>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</si>
  <si>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</si>
  <si>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</si>
  <si>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</si>
  <si>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</si>
  <si>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</si>
  <si>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</si>
  <si>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</si>
  <si>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</si>
  <si>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</si>
  <si>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</si>
  <si>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</si>
  <si>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</si>
  <si>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</si>
  <si>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</si>
  <si>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</si>
  <si>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</si>
  <si>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</si>
  <si>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</si>
  <si>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</si>
  <si>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</si>
  <si>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</si>
  <si>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</si>
  <si>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</si>
  <si>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</si>
  <si>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</si>
  <si>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</si>
  <si>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</si>
  <si>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</si>
  <si>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</si>
  <si>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</si>
  <si>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</si>
  <si>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</si>
  <si>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</si>
  <si>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</si>
  <si>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</si>
  <si>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</si>
  <si>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</si>
  <si>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</si>
  <si>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</si>
  <si>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</si>
  <si>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</si>
  <si>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</si>
  <si>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</si>
  <si>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</si>
  <si>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</si>
  <si>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</si>
  <si>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</si>
  <si>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</si>
  <si>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</si>
  <si>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</si>
  <si>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</si>
  <si>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</si>
  <si>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</si>
  <si>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</si>
  <si>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</si>
  <si>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</si>
  <si>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</si>
  <si>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</si>
  <si>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</si>
  <si>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</si>
  <si>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</si>
  <si>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</si>
  <si>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</si>
  <si>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</si>
  <si>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</si>
  <si>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</si>
  <si>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</si>
  <si>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</si>
  <si>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</si>
  <si>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</si>
  <si>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</si>
  <si>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</si>
  <si>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</si>
  <si>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</si>
  <si>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</si>
  <si>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</si>
  <si>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</si>
  <si>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</si>
  <si>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</si>
  <si>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</si>
  <si>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</si>
  <si>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</si>
  <si>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</si>
  <si>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</si>
  <si>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</si>
  <si>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</si>
  <si>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</si>
  <si>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</si>
  <si>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</si>
  <si>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</si>
  <si>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</si>
  <si>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</si>
  <si>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</si>
  <si>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</si>
  <si>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</si>
  <si>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</si>
  <si>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</si>
  <si>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</si>
  <si>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</si>
  <si>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</si>
  <si>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</si>
  <si>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</si>
  <si>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</si>
  <si>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</si>
  <si>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</si>
  <si>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</si>
  <si>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</si>
  <si>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</si>
  <si>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</si>
  <si>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</si>
  <si>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</si>
  <si>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</si>
  <si>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</si>
  <si>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</si>
  <si>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</si>
  <si>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</si>
  <si>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</si>
  <si>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</si>
  <si>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Using the iferror formula to replace the error values with value 20. </t>
  </si>
  <si>
    <t>Using the = right(cellref, 2) formula to capture the value of the last 2 characters from the text</t>
  </si>
  <si>
    <t>Using the = left(cellref, 5) formula to capture the value of the first 5 characters from the text</t>
  </si>
  <si>
    <t>Using the = mid(cellref, start num, length) formula to capture the value of the characters by defining the starting point and lenth</t>
  </si>
  <si>
    <t>I used 3 formulas =right(), =left(), =mid()</t>
  </si>
  <si>
    <t>car2</t>
  </si>
  <si>
    <t>I used =iferror()</t>
  </si>
  <si>
    <t xml:space="preserve">The formula =iferror(cellred,"20") I used to replace the error values to 20. </t>
  </si>
  <si>
    <t>ID_name_1</t>
  </si>
  <si>
    <t>ID_name_2</t>
  </si>
  <si>
    <t>Value</t>
  </si>
  <si>
    <t>I have used =index, match formula</t>
  </si>
  <si>
    <t>First, converted the name to ID for both name_1 and name_2</t>
  </si>
  <si>
    <t>Second, used index match to find value at the intersection of the two 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</si>
</sst>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Fill="1"/>
    <xf numFmtId="164" fontId="3" fillId="0" borderId="0" xfId="0" applyNumberFormat="1" applyFont="1" applyFill="1"/>
    <xf numFmtId="166" fontId="3" fillId="0" borderId="0" xfId="0" applyNumberFormat="1" applyFont="1" applyFill="1"/>
    <xf numFmtId="0" fontId="8" fillId="5" borderId="10" xfId="0" applyFont="1" applyFill="1" applyBorder="1"/>
    <xf numFmtId="0" fontId="8" fillId="0" borderId="11" xfId="0" applyFont="1" applyBorder="1"/>
    <xf numFmtId="0" fontId="8" fillId="0" borderId="12" xfId="0" applyFont="1" applyBorder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9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5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4" x14ac:dyDescent="0.3">
      <c r="A4" s="2" t="s">
        <v>109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2" t="s">
        <v>169</v>
      </c>
      <c r="B9" s="23" t="s">
        <v>167</v>
      </c>
    </row>
    <row r="10" spans="1:3" x14ac:dyDescent="0.3">
      <c r="A10" s="31" t="s">
        <v>170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84</v>
      </c>
      <c r="B13" s="33">
        <v>20</v>
      </c>
    </row>
    <row r="14" spans="1:3" x14ac:dyDescent="0.3">
      <c r="A14" s="31" t="s">
        <v>97</v>
      </c>
      <c r="B14" s="33">
        <v>40</v>
      </c>
    </row>
    <row r="15" spans="1:3" x14ac:dyDescent="0.3">
      <c r="A15" s="34" t="s">
        <v>168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0"/>
  <sheetViews>
    <sheetView zoomScaleNormal="100" workbookViewId="0">
      <pane ySplit="1" topLeftCell="A2" activePane="bottomLeft" state="frozen"/>
      <selection activeCell="H28" sqref="H28"/>
      <selection pane="bottomLeft" activeCell="X1" sqref="X1:X1048576"/>
    </sheetView>
  </sheetViews>
  <sheetFormatPr defaultColWidth="9" defaultRowHeight="14.4" x14ac:dyDescent="0.3"/>
  <cols>
    <col min="1" max="1" width="25.44140625" style="42" bestFit="1" customWidth="1"/>
    <col min="2" max="2" width="7.44140625" style="42" bestFit="1" customWidth="1"/>
    <col min="3" max="3" width="9.77734375" style="42" bestFit="1" customWidth="1"/>
    <col min="4" max="4" width="11" style="43" customWidth="1"/>
    <col min="5" max="5" width="9.109375" style="42" bestFit="1" customWidth="1"/>
    <col min="6" max="6" width="10.44140625" style="43" bestFit="1" customWidth="1"/>
    <col min="7" max="9" width="12.77734375" style="42" bestFit="1" customWidth="1"/>
    <col min="10" max="12" width="13" style="42" bestFit="1" customWidth="1"/>
    <col min="13" max="15" width="14.109375" style="42" bestFit="1" customWidth="1"/>
    <col min="16" max="18" width="14.44140625" style="42" bestFit="1" customWidth="1"/>
    <col min="19" max="20" width="18.77734375" style="42" bestFit="1" customWidth="1"/>
    <col min="21" max="23" width="19" style="42" bestFit="1" customWidth="1"/>
    <col min="24" max="24" width="12.44140625" style="44" bestFit="1" customWidth="1"/>
    <col min="25" max="16384" width="9" style="42"/>
  </cols>
  <sheetData>
    <row r="1" spans="1:24" s="3" customFormat="1" ht="14.7" customHeight="1" x14ac:dyDescent="0.3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78</v>
      </c>
      <c r="H1" s="26" t="s">
        <v>180</v>
      </c>
      <c r="I1" s="26" t="s">
        <v>65</v>
      </c>
      <c r="J1" s="27" t="s">
        <v>66</v>
      </c>
      <c r="K1" s="27" t="s">
        <v>67</v>
      </c>
      <c r="L1" s="27" t="s">
        <v>68</v>
      </c>
      <c r="M1" s="26" t="s">
        <v>69</v>
      </c>
      <c r="N1" s="26" t="s">
        <v>70</v>
      </c>
      <c r="O1" s="26" t="s">
        <v>71</v>
      </c>
      <c r="P1" s="27" t="s">
        <v>72</v>
      </c>
      <c r="Q1" s="27" t="s">
        <v>73</v>
      </c>
      <c r="R1" s="27" t="s">
        <v>74</v>
      </c>
      <c r="S1" s="26" t="s">
        <v>79</v>
      </c>
      <c r="T1" s="26" t="s">
        <v>75</v>
      </c>
      <c r="U1" s="27" t="s">
        <v>80</v>
      </c>
      <c r="V1" s="27" t="s">
        <v>76</v>
      </c>
      <c r="W1" s="27" t="s">
        <v>77</v>
      </c>
      <c r="X1" s="40" t="s">
        <v>104</v>
      </c>
    </row>
    <row r="2" spans="1:24" s="1" customFormat="1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</row>
    <row r="3" spans="1:24" s="1" customFormat="1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4" s="1" customFormat="1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4" s="1" customFormat="1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4" s="1" customFormat="1" x14ac:dyDescent="0.3">
      <c r="A6" s="1" t="s">
        <v>9</v>
      </c>
      <c r="B6" s="1">
        <f>INDEX(Dataset!$G$2:$G$40,MATCH(Task_2!A6,Dataset!$A$2:$A$40,0))</f>
        <v>2.7</v>
      </c>
      <c r="C6" s="1">
        <f>INDEX(Dataset!$N$2:$N$40,MATCH(Task_2!A6,Dataset!$A$2:$A$40,0))</f>
        <v>7.6</v>
      </c>
      <c r="D6" s="1">
        <f>INDEX(Dataset!$R$2:$R$40,MATCH(Task_2!A6,Dataset!$A$2:$A$40,0))</f>
        <v>4.2</v>
      </c>
      <c r="E6" s="1">
        <f>INDEX(Dataset!$T$2:$T$40,MATCH(Task_2!A6,Dataset!$A$2:$A$40,0))</f>
        <v>8.9</v>
      </c>
      <c r="F6" s="1">
        <f>INDEX(Dataset!$V$2:$V$40,MATCH(Task_2!A6,Dataset!$A$2:$A$40,0))</f>
        <v>4.2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4" s="1" customFormat="1" x14ac:dyDescent="0.3">
      <c r="A7" s="1" t="s">
        <v>10</v>
      </c>
      <c r="B7" s="1">
        <f>INDEX(Dataset!$G$2:$G$40,MATCH(Task_2!A7,Dataset!$A$2:$A$40,0))</f>
        <v>2.7</v>
      </c>
      <c r="C7" s="1">
        <f>INDEX(Dataset!$N$2:$N$40,MATCH(Task_2!A7,Dataset!$A$2:$A$40,0))</f>
        <v>7.6</v>
      </c>
      <c r="D7" s="1">
        <f>INDEX(Dataset!$R$2:$R$40,MATCH(Task_2!A7,Dataset!$A$2:$A$40,0))</f>
        <v>4.2</v>
      </c>
      <c r="E7" s="1">
        <f>INDEX(Dataset!$T$2:$T$40,MATCH(Task_2!A7,Dataset!$A$2:$A$40,0))</f>
        <v>8.9</v>
      </c>
      <c r="F7" s="1">
        <f>INDEX(Dataset!$V$2:$V$40,MATCH(Task_2!A7,Dataset!$A$2:$A$40,0))</f>
        <v>4.2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4" s="1" customFormat="1" x14ac:dyDescent="0.3">
      <c r="A8" s="1" t="s">
        <v>11</v>
      </c>
      <c r="B8" s="1">
        <f>INDEX(Dataset!$G$2:$G$40,MATCH(Task_2!A8,Dataset!$A$2:$A$40,0))</f>
        <v>3.6</v>
      </c>
      <c r="C8" s="1">
        <f>INDEX(Dataset!$N$2:$N$40,MATCH(Task_2!A8,Dataset!$A$2:$A$40,0))</f>
        <v>11.1</v>
      </c>
      <c r="D8" s="1">
        <f>INDEX(Dataset!$R$2:$R$40,MATCH(Task_2!A8,Dataset!$A$2:$A$40,0))</f>
        <v>5.8</v>
      </c>
      <c r="E8" s="1">
        <f>INDEX(Dataset!$T$2:$T$40,MATCH(Task_2!A8,Dataset!$A$2:$A$40,0))</f>
        <v>12.2</v>
      </c>
      <c r="F8" s="1">
        <f>INDEX(Dataset!$V$2:$V$40,MATCH(Task_2!A8,Dataset!$A$2:$A$40,0))</f>
        <v>5.8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4" s="1" customFormat="1" x14ac:dyDescent="0.3">
      <c r="A9" s="1" t="s">
        <v>12</v>
      </c>
      <c r="B9" s="1">
        <f>INDEX(Dataset!$G$2:$G$40,MATCH(Task_2!A9,Dataset!$A$2:$A$40,0))</f>
        <v>4.9000000000000004</v>
      </c>
      <c r="C9" s="1">
        <f>INDEX(Dataset!$N$2:$N$40,MATCH(Task_2!A9,Dataset!$A$2:$A$40,0))</f>
        <v>13.3</v>
      </c>
      <c r="D9" s="1">
        <f>INDEX(Dataset!$R$2:$R$40,MATCH(Task_2!A9,Dataset!$A$2:$A$40,0))</f>
        <v>8.1</v>
      </c>
      <c r="E9" s="1">
        <f>INDEX(Dataset!$T$2:$T$40,MATCH(Task_2!A9,Dataset!$A$2:$A$40,0))</f>
        <v>17</v>
      </c>
      <c r="F9" s="1">
        <f>INDEX(Dataset!$V$2:$V$40,MATCH(Task_2!A9,Dataset!$A$2:$A$40,0))</f>
        <v>8.1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4" s="1" customFormat="1" x14ac:dyDescent="0.3">
      <c r="A10" s="1" t="s">
        <v>13</v>
      </c>
      <c r="B10" s="1">
        <f>INDEX(Dataset!$G$2:$G$40,MATCH(Task_2!A10,Dataset!$A$2:$A$40,0))</f>
        <v>9.4</v>
      </c>
      <c r="C10" s="1">
        <f>INDEX(Dataset!$N$2:$N$40,MATCH(Task_2!A10,Dataset!$A$2:$A$40,0))</f>
        <v>28.3</v>
      </c>
      <c r="D10" s="1">
        <f>INDEX(Dataset!$R$2:$R$40,MATCH(Task_2!A10,Dataset!$A$2:$A$40,0))</f>
        <v>16.100000000000001</v>
      </c>
      <c r="E10" s="1">
        <f>INDEX(Dataset!$T$2:$T$40,MATCH(Task_2!A10,Dataset!$A$2:$A$40,0))</f>
        <v>32.799999999999997</v>
      </c>
      <c r="F10" s="1">
        <f>INDEX(Dataset!$V$2:$V$40,MATCH(Task_2!A10,Dataset!$A$2:$A$40,0))</f>
        <v>16.100000000000001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4" s="1" customFormat="1" x14ac:dyDescent="0.3">
      <c r="A11" s="1" t="s">
        <v>14</v>
      </c>
      <c r="B11" s="1">
        <f>INDEX(Dataset!$G$2:$G$40,MATCH(Task_2!A11,Dataset!$A$2:$A$40,0))</f>
        <v>11.6</v>
      </c>
      <c r="C11" s="1">
        <f>INDEX(Dataset!$N$2:$N$40,MATCH(Task_2!A11,Dataset!$A$2:$A$40,0))</f>
        <v>35.200000000000003</v>
      </c>
      <c r="D11" s="1">
        <f>INDEX(Dataset!$R$2:$R$40,MATCH(Task_2!A11,Dataset!$A$2:$A$40,0))</f>
        <v>21.3</v>
      </c>
      <c r="E11" s="1">
        <f>INDEX(Dataset!$T$2:$T$40,MATCH(Task_2!A11,Dataset!$A$2:$A$40,0))</f>
        <v>43</v>
      </c>
      <c r="F11" s="1">
        <f>INDEX(Dataset!$V$2:$V$40,MATCH(Task_2!A11,Dataset!$A$2:$A$40,0))</f>
        <v>21.3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4" s="1" customFormat="1" x14ac:dyDescent="0.3">
      <c r="A12" s="1" t="s">
        <v>15</v>
      </c>
      <c r="B12" s="1">
        <f>INDEX(Dataset!$G$2:$G$40,MATCH(Task_2!A12,Dataset!$A$2:$A$40,0))</f>
        <v>18.399999999999999</v>
      </c>
      <c r="C12" s="1">
        <f>INDEX(Dataset!$N$2:$N$40,MATCH(Task_2!A12,Dataset!$A$2:$A$40,0))</f>
        <v>55.6</v>
      </c>
      <c r="D12" s="1">
        <f>INDEX(Dataset!$R$2:$R$40,MATCH(Task_2!A12,Dataset!$A$2:$A$40,0))</f>
        <v>33.799999999999997</v>
      </c>
      <c r="E12" s="1">
        <f>INDEX(Dataset!$T$2:$T$40,MATCH(Task_2!A12,Dataset!$A$2:$A$40,0))</f>
        <v>67.900000000000006</v>
      </c>
      <c r="F12" s="1">
        <f>INDEX(Dataset!$V$2:$V$40,MATCH(Task_2!A12,Dataset!$A$2:$A$40,0))</f>
        <v>33.799999999999997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1">
        <v>45116</v>
      </c>
    </row>
    <row r="13" spans="1:24" s="1" customFormat="1" x14ac:dyDescent="0.3">
      <c r="A13" s="1" t="s">
        <v>16</v>
      </c>
      <c r="B13" s="1">
        <f>INDEX(Dataset!$G$2:$G$40,MATCH(Task_2!A13,Dataset!$A$2:$A$40,0))</f>
        <v>0</v>
      </c>
      <c r="C13" s="1">
        <f>INDEX(Dataset!$N$2:$N$40,MATCH(Task_2!A13,Dataset!$A$2:$A$40,0))</f>
        <v>0</v>
      </c>
      <c r="D13" s="1">
        <f>INDEX(Dataset!$R$2:$R$40,MATCH(Task_2!A13,Dataset!$A$2:$A$40,0))</f>
        <v>0</v>
      </c>
      <c r="E13" s="1">
        <f>INDEX(Dataset!$T$2:$T$40,MATCH(Task_2!A13,Dataset!$A$2:$A$40,0))</f>
        <v>0</v>
      </c>
      <c r="F13" s="1">
        <f>INDEX(Dataset!$V$2:$V$40,MATCH(Task_2!A13,Dataset!$A$2:$A$40,0))</f>
        <v>0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4" s="1" customFormat="1" x14ac:dyDescent="0.3">
      <c r="A14" s="1" t="s">
        <v>17</v>
      </c>
      <c r="B14" s="1">
        <f>INDEX(Dataset!$G$2:$G$40,MATCH(Task_2!A14,Dataset!$A$2:$A$40,0))</f>
        <v>21.9</v>
      </c>
      <c r="C14" s="1">
        <f>INDEX(Dataset!$N$2:$N$40,MATCH(Task_2!A14,Dataset!$A$2:$A$40,0))</f>
        <v>61.5</v>
      </c>
      <c r="D14" s="1">
        <f>INDEX(Dataset!$R$2:$R$40,MATCH(Task_2!A14,Dataset!$A$2:$A$40,0))</f>
        <v>40.1</v>
      </c>
      <c r="E14" s="1">
        <f>INDEX(Dataset!$T$2:$T$40,MATCH(Task_2!A14,Dataset!$A$2:$A$40,0))</f>
        <v>76.599999999999994</v>
      </c>
      <c r="F14" s="1">
        <f>INDEX(Dataset!$V$2:$V$40,MATCH(Task_2!A14,Dataset!$A$2:$A$40,0))</f>
        <v>40.1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4" s="1" customFormat="1" x14ac:dyDescent="0.3">
      <c r="A15" s="1" t="s">
        <v>18</v>
      </c>
      <c r="B15" s="1">
        <f>INDEX(Dataset!$G$2:$G$40,MATCH(Task_2!A15,Dataset!$A$2:$A$40,0))</f>
        <v>26.8</v>
      </c>
      <c r="C15" s="1">
        <f>INDEX(Dataset!$N$2:$N$40,MATCH(Task_2!A15,Dataset!$A$2:$A$40,0))</f>
        <v>79.599999999999994</v>
      </c>
      <c r="D15" s="1">
        <f>INDEX(Dataset!$R$2:$R$40,MATCH(Task_2!A15,Dataset!$A$2:$A$40,0))</f>
        <v>47.9</v>
      </c>
      <c r="E15" s="1">
        <f>INDEX(Dataset!$T$2:$T$40,MATCH(Task_2!A15,Dataset!$A$2:$A$40,0))</f>
        <v>96.8</v>
      </c>
      <c r="F15" s="1">
        <f>INDEX(Dataset!$V$2:$V$40,MATCH(Task_2!A15,Dataset!$A$2:$A$40,0))</f>
        <v>47.9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4" s="1" customFormat="1" x14ac:dyDescent="0.3">
      <c r="A16" s="1" t="s">
        <v>19</v>
      </c>
      <c r="B16" s="1">
        <f>INDEX(Dataset!$G$2:$G$40,MATCH(Task_2!A16,Dataset!$A$2:$A$40,0))</f>
        <v>28.5</v>
      </c>
      <c r="C16" s="1">
        <f>INDEX(Dataset!$N$2:$N$40,MATCH(Task_2!A16,Dataset!$A$2:$A$40,0))</f>
        <v>85.4</v>
      </c>
      <c r="D16" s="1">
        <f>INDEX(Dataset!$R$2:$R$40,MATCH(Task_2!A16,Dataset!$A$2:$A$40,0))</f>
        <v>52.3</v>
      </c>
      <c r="E16" s="1">
        <f>INDEX(Dataset!$T$2:$T$40,MATCH(Task_2!A16,Dataset!$A$2:$A$40,0))</f>
        <v>106.1</v>
      </c>
      <c r="F16" s="1">
        <f>INDEX(Dataset!$V$2:$V$40,MATCH(Task_2!A16,Dataset!$A$2:$A$40,0))</f>
        <v>52.3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 s="1" customFormat="1" x14ac:dyDescent="0.3">
      <c r="A17" s="1" t="s">
        <v>20</v>
      </c>
      <c r="B17" s="1">
        <f>INDEX(Dataset!$G$2:$G$40,MATCH(Task_2!A17,Dataset!$A$2:$A$40,0))</f>
        <v>30.7</v>
      </c>
      <c r="C17" s="1">
        <f>INDEX(Dataset!$N$2:$N$40,MATCH(Task_2!A17,Dataset!$A$2:$A$40,0))</f>
        <v>92.1</v>
      </c>
      <c r="D17" s="1">
        <f>INDEX(Dataset!$R$2:$R$40,MATCH(Task_2!A17,Dataset!$A$2:$A$40,0))</f>
        <v>57</v>
      </c>
      <c r="E17" s="1">
        <f>INDEX(Dataset!$T$2:$T$40,MATCH(Task_2!A17,Dataset!$A$2:$A$40,0))</f>
        <v>115.1</v>
      </c>
      <c r="F17" s="1">
        <f>INDEX(Dataset!$V$2:$V$40,MATCH(Task_2!A17,Dataset!$A$2:$A$40,0))</f>
        <v>57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 s="1" customFormat="1" x14ac:dyDescent="0.3">
      <c r="A18" s="1" t="s">
        <v>21</v>
      </c>
      <c r="B18" s="1">
        <f>INDEX(Dataset!$G$2:$G$40,MATCH(Task_2!A18,Dataset!$A$2:$A$40,0))</f>
        <v>33.799999999999997</v>
      </c>
      <c r="C18" s="1">
        <f>INDEX(Dataset!$N$2:$N$40,MATCH(Task_2!A18,Dataset!$A$2:$A$40,0))</f>
        <v>101.3</v>
      </c>
      <c r="D18" s="1">
        <f>INDEX(Dataset!$R$2:$R$40,MATCH(Task_2!A18,Dataset!$A$2:$A$40,0))</f>
        <v>61.4</v>
      </c>
      <c r="E18" s="1">
        <f>INDEX(Dataset!$T$2:$T$40,MATCH(Task_2!A18,Dataset!$A$2:$A$40,0))</f>
        <v>124.4</v>
      </c>
      <c r="F18" s="1">
        <f>INDEX(Dataset!$V$2:$V$40,MATCH(Task_2!A18,Dataset!$A$2:$A$40,0))</f>
        <v>61.4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 s="1" customFormat="1" x14ac:dyDescent="0.3">
      <c r="A19" s="1" t="s">
        <v>22</v>
      </c>
      <c r="B19" s="1">
        <f>INDEX(Dataset!$G$2:$G$40,MATCH(Task_2!A19,Dataset!$A$2:$A$40,0))</f>
        <v>34.700000000000003</v>
      </c>
      <c r="C19" s="1">
        <f>INDEX(Dataset!$N$2:$N$40,MATCH(Task_2!A19,Dataset!$A$2:$A$40,0))</f>
        <v>106.1</v>
      </c>
      <c r="D19" s="1">
        <f>INDEX(Dataset!$R$2:$R$40,MATCH(Task_2!A19,Dataset!$A$2:$A$40,0))</f>
        <v>63.6</v>
      </c>
      <c r="E19" s="1">
        <f>INDEX(Dataset!$T$2:$T$40,MATCH(Task_2!A19,Dataset!$A$2:$A$40,0))</f>
        <v>128.6</v>
      </c>
      <c r="F19" s="1">
        <f>INDEX(Dataset!$V$2:$V$40,MATCH(Task_2!A19,Dataset!$A$2:$A$40,0))</f>
        <v>63.6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 s="1" customFormat="1" x14ac:dyDescent="0.3">
      <c r="A20" s="1" t="s">
        <v>23</v>
      </c>
      <c r="B20" s="1">
        <f>INDEX(Dataset!$G$2:$G$40,MATCH(Task_2!A20,Dataset!$A$2:$A$40,0))</f>
        <v>0</v>
      </c>
      <c r="C20" s="1">
        <f>INDEX(Dataset!$N$2:$N$40,MATCH(Task_2!A20,Dataset!$A$2:$A$40,0))</f>
        <v>0</v>
      </c>
      <c r="D20" s="1">
        <f>INDEX(Dataset!$R$2:$R$40,MATCH(Task_2!A20,Dataset!$A$2:$A$40,0))</f>
        <v>0</v>
      </c>
      <c r="E20" s="1">
        <f>INDEX(Dataset!$T$2:$T$40,MATCH(Task_2!A20,Dataset!$A$2:$A$40,0))</f>
        <v>0</v>
      </c>
      <c r="F20" s="1">
        <f>INDEX(Dataset!$V$2:$V$40,MATCH(Task_2!A20,Dataset!$A$2:$A$40,0))</f>
        <v>0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 s="1" customFormat="1" x14ac:dyDescent="0.3">
      <c r="A21" s="1" t="s">
        <v>24</v>
      </c>
      <c r="B21" s="1">
        <f>INDEX(Dataset!$G$2:$G$40,MATCH(Task_2!A21,Dataset!$A$2:$A$40,0))</f>
        <v>41.3</v>
      </c>
      <c r="C21" s="1">
        <f>INDEX(Dataset!$N$2:$N$40,MATCH(Task_2!A21,Dataset!$A$2:$A$40,0))</f>
        <v>124.4</v>
      </c>
      <c r="D21" s="1">
        <f>INDEX(Dataset!$R$2:$R$40,MATCH(Task_2!A21,Dataset!$A$2:$A$40,0))</f>
        <v>75</v>
      </c>
      <c r="E21" s="1">
        <f>INDEX(Dataset!$T$2:$T$40,MATCH(Task_2!A21,Dataset!$A$2:$A$40,0))</f>
        <v>151.5</v>
      </c>
      <c r="F21" s="1">
        <f>INDEX(Dataset!$V$2:$V$40,MATCH(Task_2!A21,Dataset!$A$2:$A$40,0))</f>
        <v>75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 s="1" customFormat="1" x14ac:dyDescent="0.3">
      <c r="A22" s="1" t="s">
        <v>25</v>
      </c>
      <c r="B22" s="1">
        <f>INDEX(Dataset!$G$2:$G$40,MATCH(Task_2!A22,Dataset!$A$2:$A$40,0))</f>
        <v>-1</v>
      </c>
      <c r="C22" s="1">
        <f>INDEX(Dataset!$N$2:$N$40,MATCH(Task_2!A22,Dataset!$A$2:$A$40,0))</f>
        <v>-1</v>
      </c>
      <c r="D22" s="1">
        <f>INDEX(Dataset!$R$2:$R$40,MATCH(Task_2!A22,Dataset!$A$2:$A$40,0))</f>
        <v>-1</v>
      </c>
      <c r="E22" s="1">
        <f>INDEX(Dataset!$T$2:$T$40,MATCH(Task_2!A22,Dataset!$A$2:$A$40,0))</f>
        <v>-1</v>
      </c>
      <c r="F22" s="1">
        <f>INDEX(Dataset!$V$2:$V$40,MATCH(Task_2!A22,Dataset!$A$2:$A$40,0))</f>
        <v>-1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 s="1" customFormat="1" x14ac:dyDescent="0.3">
      <c r="A23" s="1" t="s">
        <v>41</v>
      </c>
      <c r="B23" s="1">
        <f>INDEX(Dataset!$G$2:$G$40,MATCH(Task_2!A23,Dataset!$A$2:$A$40,0))</f>
        <v>45</v>
      </c>
      <c r="C23" s="1">
        <f>INDEX(Dataset!$N$2:$N$40,MATCH(Task_2!A23,Dataset!$A$2:$A$40,0))</f>
        <v>133.4</v>
      </c>
      <c r="D23" s="1">
        <f>INDEX(Dataset!$R$2:$R$40,MATCH(Task_2!A23,Dataset!$A$2:$A$40,0))</f>
        <v>79.400000000000006</v>
      </c>
      <c r="E23" s="1">
        <f>INDEX(Dataset!$T$2:$T$40,MATCH(Task_2!A23,Dataset!$A$2:$A$40,0))</f>
        <v>160.9</v>
      </c>
      <c r="F23" s="1">
        <f>INDEX(Dataset!$V$2:$V$40,MATCH(Task_2!A23,Dataset!$A$2:$A$40,0))</f>
        <v>79.400000000000006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 s="1" customFormat="1" x14ac:dyDescent="0.3">
      <c r="A24" s="1" t="s">
        <v>26</v>
      </c>
      <c r="B24" s="1">
        <f>INDEX(Dataset!$G$2:$G$40,MATCH(Task_2!A24,Dataset!$A$2:$A$40,0))</f>
        <v>-1</v>
      </c>
      <c r="C24" s="1">
        <f>INDEX(Dataset!$N$2:$N$40,MATCH(Task_2!A24,Dataset!$A$2:$A$40,0))</f>
        <v>-1</v>
      </c>
      <c r="D24" s="1">
        <f>INDEX(Dataset!$R$2:$R$40,MATCH(Task_2!A24,Dataset!$A$2:$A$40,0))</f>
        <v>-1</v>
      </c>
      <c r="E24" s="1">
        <f>INDEX(Dataset!$T$2:$T$40,MATCH(Task_2!A24,Dataset!$A$2:$A$40,0))</f>
        <v>-1</v>
      </c>
      <c r="F24" s="1">
        <f>INDEX(Dataset!$V$2:$V$40,MATCH(Task_2!A24,Dataset!$A$2:$A$40,0))</f>
        <v>-1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 s="1" customFormat="1" x14ac:dyDescent="0.3">
      <c r="A25" s="1" t="s">
        <v>27</v>
      </c>
      <c r="B25" s="1">
        <f>INDEX(Dataset!$G$2:$G$40,MATCH(Task_2!A25,Dataset!$A$2:$A$40,0))</f>
        <v>43.3</v>
      </c>
      <c r="C25" s="1">
        <f>INDEX(Dataset!$N$2:$N$40,MATCH(Task_2!A25,Dataset!$A$2:$A$40,0))</f>
        <v>128.6</v>
      </c>
      <c r="D25" s="1">
        <f>INDEX(Dataset!$R$2:$R$40,MATCH(Task_2!A25,Dataset!$A$2:$A$40,0))</f>
        <v>79.400000000000006</v>
      </c>
      <c r="E25" s="1">
        <f>INDEX(Dataset!$T$2:$T$40,MATCH(Task_2!A25,Dataset!$A$2:$A$40,0))</f>
        <v>160.9</v>
      </c>
      <c r="F25" s="1">
        <f>INDEX(Dataset!$V$2:$V$40,MATCH(Task_2!A25,Dataset!$A$2:$A$40,0))</f>
        <v>79.400000000000006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 s="1" customFormat="1" x14ac:dyDescent="0.3">
      <c r="A26" s="1" t="s">
        <v>28</v>
      </c>
      <c r="B26" s="1">
        <f>INDEX(Dataset!$G$2:$G$40,MATCH(Task_2!A26,Dataset!$A$2:$A$40,0))</f>
        <v>49.1</v>
      </c>
      <c r="C26" s="1">
        <f>INDEX(Dataset!$N$2:$N$40,MATCH(Task_2!A26,Dataset!$A$2:$A$40,0))</f>
        <v>146.80000000000001</v>
      </c>
      <c r="D26" s="1">
        <f>INDEX(Dataset!$R$2:$R$40,MATCH(Task_2!A26,Dataset!$A$2:$A$40,0))</f>
        <v>90.9</v>
      </c>
      <c r="E26" s="1">
        <f>INDEX(Dataset!$T$2:$T$40,MATCH(Task_2!A26,Dataset!$A$2:$A$40,0))</f>
        <v>183.5</v>
      </c>
      <c r="F26" s="1">
        <f>INDEX(Dataset!$V$2:$V$40,MATCH(Task_2!A26,Dataset!$A$2:$A$40,0))</f>
        <v>90.9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1">
        <v>45142</v>
      </c>
    </row>
    <row r="27" spans="1:24" s="1" customFormat="1" x14ac:dyDescent="0.3">
      <c r="A27" s="1" t="s">
        <v>57</v>
      </c>
      <c r="B27" s="1">
        <f>INDEX(Dataset!$G$2:$G$40,MATCH(Task_2!A27,Dataset!$A$2:$A$40,0))</f>
        <v>51.8</v>
      </c>
      <c r="C27" s="1">
        <f>INDEX(Dataset!$N$2:$N$40,MATCH(Task_2!A27,Dataset!$A$2:$A$40,0))</f>
        <v>156.4</v>
      </c>
      <c r="D27" s="1">
        <f>INDEX(Dataset!$R$2:$R$40,MATCH(Task_2!A27,Dataset!$A$2:$A$40,0))</f>
        <v>93.1</v>
      </c>
      <c r="E27" s="1">
        <f>INDEX(Dataset!$T$2:$T$40,MATCH(Task_2!A27,Dataset!$A$2:$A$40,0))</f>
        <v>188.1</v>
      </c>
      <c r="F27" s="1">
        <f>INDEX(Dataset!$V$2:$V$40,MATCH(Task_2!A27,Dataset!$A$2:$A$40,0))</f>
        <v>93.1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 s="1" customFormat="1" x14ac:dyDescent="0.3">
      <c r="A28" s="1" t="s">
        <v>29</v>
      </c>
      <c r="B28" s="1">
        <f>MIN(B6:B27)</f>
        <v>-1</v>
      </c>
      <c r="C28" s="1">
        <f t="shared" ref="C28:F28" si="0">MIN(C6:C27)</f>
        <v>-1</v>
      </c>
      <c r="D28" s="1">
        <f t="shared" si="0"/>
        <v>-1</v>
      </c>
      <c r="E28" s="1">
        <f t="shared" si="0"/>
        <v>-1</v>
      </c>
      <c r="F28" s="1">
        <f t="shared" si="0"/>
        <v>-1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 s="1" customFormat="1" x14ac:dyDescent="0.3">
      <c r="A29" s="1" t="s">
        <v>30</v>
      </c>
      <c r="B29" s="1">
        <f>MAX(B6:B27)</f>
        <v>51.8</v>
      </c>
      <c r="C29" s="1">
        <f t="shared" ref="C29:F29" si="1">MAX(C6:C27)</f>
        <v>156.4</v>
      </c>
      <c r="D29" s="1">
        <f t="shared" si="1"/>
        <v>93.1</v>
      </c>
      <c r="E29" s="1">
        <f t="shared" si="1"/>
        <v>188.1</v>
      </c>
      <c r="F29" s="1">
        <f t="shared" si="1"/>
        <v>93.1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 s="1" customFormat="1" x14ac:dyDescent="0.3">
      <c r="A30" s="1" t="s">
        <v>58</v>
      </c>
      <c r="B30" s="1">
        <f>AVERAGE(B6:B27)</f>
        <v>20.827272727272728</v>
      </c>
      <c r="C30" s="1">
        <f t="shared" ref="C30:F30" si="2">AVERAGE(C6:C27)</f>
        <v>62.377272727272725</v>
      </c>
      <c r="D30" s="1">
        <f t="shared" si="2"/>
        <v>37.800000000000004</v>
      </c>
      <c r="E30" s="1">
        <f t="shared" si="2"/>
        <v>76.418181818181822</v>
      </c>
      <c r="F30" s="1">
        <f t="shared" si="2"/>
        <v>37.800000000000004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1">
        <v>45150</v>
      </c>
    </row>
    <row r="31" spans="1:24" s="1" customFormat="1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 s="1" customFormat="1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1">
        <v>45143</v>
      </c>
    </row>
    <row r="33" spans="1:24" s="1" customFormat="1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 s="1" customFormat="1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 s="1" customFormat="1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 s="1" customFormat="1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 s="1" customFormat="1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 s="1" customFormat="1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 s="1" customFormat="1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 s="1" customFormat="1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</sheetData>
  <conditionalFormatting sqref="A1:A1048576">
    <cfRule type="duplicateValues" dxfId="3" priority="6"/>
  </conditionalFormatting>
  <conditionalFormatting sqref="B1:B1048576 C28:F30">
    <cfRule type="duplicateValues" dxfId="2" priority="5"/>
  </conditionalFormatting>
  <conditionalFormatting sqref="A1:XFD1048576">
    <cfRule type="cellIs" dxfId="1" priority="4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0"/>
  <sheetViews>
    <sheetView zoomScaleNormal="100" workbookViewId="0">
      <selection activeCell="B24" sqref="B2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441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6" x14ac:dyDescent="0.3">
      <c r="A2" s="2"/>
      <c r="B2" s="5" t="s">
        <v>158</v>
      </c>
      <c r="C2" s="2"/>
    </row>
    <row r="3" spans="1:6" x14ac:dyDescent="0.3">
      <c r="A3" s="6">
        <v>1</v>
      </c>
      <c r="B3" s="2" t="s">
        <v>105</v>
      </c>
      <c r="C3" s="2" t="s">
        <v>45</v>
      </c>
      <c r="E3" s="1">
        <v>5</v>
      </c>
    </row>
    <row r="4" spans="1:6" x14ac:dyDescent="0.3">
      <c r="A4" s="6">
        <v>2</v>
      </c>
      <c r="B4" s="2" t="s">
        <v>46</v>
      </c>
      <c r="C4" s="2"/>
      <c r="E4" s="1">
        <v>5</v>
      </c>
    </row>
    <row r="5" spans="1:6" x14ac:dyDescent="0.3">
      <c r="A5" s="6">
        <v>3</v>
      </c>
      <c r="B5" s="2" t="s">
        <v>103</v>
      </c>
      <c r="C5" s="30">
        <f>SUMIFS(Dataset!H2:H40,Dataset!H2:H40,"&gt;"&amp;20)</f>
        <v>1473.0000000000002</v>
      </c>
      <c r="E5" s="1">
        <v>10</v>
      </c>
    </row>
    <row r="6" spans="1:6" x14ac:dyDescent="0.3">
      <c r="A6" s="6">
        <v>4</v>
      </c>
      <c r="B6" s="2">
        <f>INDEX(Dataset!$G$2:$G$40,MATCH(Task_2!A6,Dataset!$A$2:$A$40,0))</f>
        <v>2.7</v>
      </c>
      <c r="C6" s="2">
        <f>INDEX(Dataset!$N$2:$N$40,MATCH(Task_2!A6,Dataset!$A$2:$A$40,0))</f>
        <v>7.6</v>
      </c>
      <c r="D6" s="2">
        <f>INDEX(Dataset!$R$2:$R$40,MATCH(Task_2!A6,Dataset!$A$2:$A$40,0))</f>
        <v>4.2</v>
      </c>
      <c r="E6" s="2">
        <f>INDEX(Dataset!$T$2:$T$40,MATCH(Task_2!A6,Dataset!$A$2:$A$40,0))</f>
        <v>8.9</v>
      </c>
      <c r="F6" s="2">
        <f>INDEX(Dataset!$V$2:$V$40,MATCH(Task_2!A6,Dataset!$A$2:$A$40,0))</f>
        <v>4.2</v>
      </c>
    </row>
    <row r="7" spans="1:6" x14ac:dyDescent="0.3">
      <c r="A7" s="2"/>
      <c r="B7" s="2">
        <f>INDEX(Dataset!$G$2:$G$40,MATCH(Task_2!A7,Dataset!$A$2:$A$40,0))</f>
        <v>2.7</v>
      </c>
      <c r="C7" s="2">
        <f>INDEX(Dataset!$N$2:$N$40,MATCH(Task_2!A7,Dataset!$A$2:$A$40,0))</f>
        <v>7.6</v>
      </c>
      <c r="D7" s="2">
        <f>INDEX(Dataset!$R$2:$R$40,MATCH(Task_2!A7,Dataset!$A$2:$A$40,0))</f>
        <v>4.2</v>
      </c>
      <c r="E7" s="2">
        <f>INDEX(Dataset!$T$2:$T$40,MATCH(Task_2!A7,Dataset!$A$2:$A$40,0))</f>
        <v>8.9</v>
      </c>
      <c r="F7" s="2">
        <f>INDEX(Dataset!$V$2:$V$40,MATCH(Task_2!A7,Dataset!$A$2:$A$40,0))</f>
        <v>4.2</v>
      </c>
    </row>
    <row r="8" spans="1:6" x14ac:dyDescent="0.3">
      <c r="B8" s="2">
        <f>INDEX(Dataset!$G$2:$G$40,MATCH(Task_2!A8,Dataset!$A$2:$A$40,0))</f>
        <v>3.6</v>
      </c>
      <c r="C8" s="2">
        <f>INDEX(Dataset!$N$2:$N$40,MATCH(Task_2!A8,Dataset!$A$2:$A$40,0))</f>
        <v>11.1</v>
      </c>
      <c r="D8" s="2">
        <f>INDEX(Dataset!$R$2:$R$40,MATCH(Task_2!A8,Dataset!$A$2:$A$40,0))</f>
        <v>5.8</v>
      </c>
      <c r="E8" s="2">
        <f>INDEX(Dataset!$T$2:$T$40,MATCH(Task_2!A8,Dataset!$A$2:$A$40,0))</f>
        <v>12.2</v>
      </c>
      <c r="F8" s="2">
        <f>INDEX(Dataset!$V$2:$V$40,MATCH(Task_2!A8,Dataset!$A$2:$A$40,0))</f>
        <v>5.8</v>
      </c>
    </row>
    <row r="9" spans="1:6" x14ac:dyDescent="0.3">
      <c r="B9" s="2">
        <f>INDEX(Dataset!$G$2:$G$40,MATCH(Task_2!A9,Dataset!$A$2:$A$40,0))</f>
        <v>4.9000000000000004</v>
      </c>
      <c r="C9" s="2">
        <f>INDEX(Dataset!$N$2:$N$40,MATCH(Task_2!A9,Dataset!$A$2:$A$40,0))</f>
        <v>13.3</v>
      </c>
      <c r="D9" s="2">
        <f>INDEX(Dataset!$R$2:$R$40,MATCH(Task_2!A9,Dataset!$A$2:$A$40,0))</f>
        <v>8.1</v>
      </c>
      <c r="E9" s="2">
        <f>INDEX(Dataset!$T$2:$T$40,MATCH(Task_2!A9,Dataset!$A$2:$A$40,0))</f>
        <v>17</v>
      </c>
      <c r="F9" s="2">
        <f>INDEX(Dataset!$V$2:$V$40,MATCH(Task_2!A9,Dataset!$A$2:$A$40,0))</f>
        <v>8.1</v>
      </c>
    </row>
    <row r="10" spans="1:6" x14ac:dyDescent="0.3">
      <c r="B10" s="2">
        <f>INDEX(Dataset!$G$2:$G$40,MATCH(Task_2!A10,Dataset!$A$2:$A$40,0))</f>
        <v>9.4</v>
      </c>
      <c r="C10" s="2">
        <f>INDEX(Dataset!$N$2:$N$40,MATCH(Task_2!A10,Dataset!$A$2:$A$40,0))</f>
        <v>28.3</v>
      </c>
      <c r="D10" s="2">
        <f>INDEX(Dataset!$R$2:$R$40,MATCH(Task_2!A10,Dataset!$A$2:$A$40,0))</f>
        <v>16.100000000000001</v>
      </c>
      <c r="E10" s="2">
        <f>INDEX(Dataset!$T$2:$T$40,MATCH(Task_2!A10,Dataset!$A$2:$A$40,0))</f>
        <v>32.799999999999997</v>
      </c>
      <c r="F10" s="2">
        <f>INDEX(Dataset!$V$2:$V$40,MATCH(Task_2!A10,Dataset!$A$2:$A$40,0))</f>
        <v>16.100000000000001</v>
      </c>
    </row>
    <row r="11" spans="1:6" x14ac:dyDescent="0.3">
      <c r="B11" s="2">
        <f>INDEX(Dataset!$G$2:$G$40,MATCH(Task_2!A11,Dataset!$A$2:$A$40,0))</f>
        <v>11.6</v>
      </c>
      <c r="C11" s="2">
        <f>INDEX(Dataset!$N$2:$N$40,MATCH(Task_2!A11,Dataset!$A$2:$A$40,0))</f>
        <v>35.200000000000003</v>
      </c>
      <c r="D11" s="2">
        <f>INDEX(Dataset!$R$2:$R$40,MATCH(Task_2!A11,Dataset!$A$2:$A$40,0))</f>
        <v>21.3</v>
      </c>
      <c r="E11" s="2">
        <f>INDEX(Dataset!$T$2:$T$40,MATCH(Task_2!A11,Dataset!$A$2:$A$40,0))</f>
        <v>43</v>
      </c>
      <c r="F11" s="2">
        <f>INDEX(Dataset!$V$2:$V$40,MATCH(Task_2!A11,Dataset!$A$2:$A$40,0))</f>
        <v>21.3</v>
      </c>
    </row>
    <row r="12" spans="1:6" x14ac:dyDescent="0.3">
      <c r="B12" s="2">
        <f>INDEX(Dataset!$G$2:$G$40,MATCH(Task_2!A12,Dataset!$A$2:$A$40,0))</f>
        <v>18.399999999999999</v>
      </c>
      <c r="C12" s="2">
        <f>INDEX(Dataset!$N$2:$N$40,MATCH(Task_2!A12,Dataset!$A$2:$A$40,0))</f>
        <v>55.6</v>
      </c>
      <c r="D12" s="2">
        <f>INDEX(Dataset!$R$2:$R$40,MATCH(Task_2!A12,Dataset!$A$2:$A$40,0))</f>
        <v>33.799999999999997</v>
      </c>
      <c r="E12" s="2">
        <f>INDEX(Dataset!$T$2:$T$40,MATCH(Task_2!A12,Dataset!$A$2:$A$40,0))</f>
        <v>67.900000000000006</v>
      </c>
      <c r="F12" s="2">
        <f>INDEX(Dataset!$V$2:$V$40,MATCH(Task_2!A12,Dataset!$A$2:$A$40,0))</f>
        <v>33.799999999999997</v>
      </c>
    </row>
    <row r="13" spans="1:6" x14ac:dyDescent="0.3">
      <c r="B13" s="2">
        <f>INDEX(Dataset!$G$2:$G$40,MATCH(Task_2!A13,Dataset!$A$2:$A$40,0))</f>
        <v>0</v>
      </c>
      <c r="C13" s="2">
        <f>INDEX(Dataset!$N$2:$N$40,MATCH(Task_2!A13,Dataset!$A$2:$A$40,0))</f>
        <v>0</v>
      </c>
      <c r="D13" s="2">
        <f>INDEX(Dataset!$R$2:$R$40,MATCH(Task_2!A13,Dataset!$A$2:$A$40,0))</f>
        <v>0</v>
      </c>
      <c r="E13" s="2">
        <f>INDEX(Dataset!$T$2:$T$40,MATCH(Task_2!A13,Dataset!$A$2:$A$40,0))</f>
        <v>0</v>
      </c>
      <c r="F13" s="2">
        <f>INDEX(Dataset!$V$2:$V$40,MATCH(Task_2!A13,Dataset!$A$2:$A$40,0))</f>
        <v>0</v>
      </c>
    </row>
    <row r="14" spans="1:6" x14ac:dyDescent="0.3">
      <c r="B14" s="2">
        <f>INDEX(Dataset!$G$2:$G$40,MATCH(Task_2!A14,Dataset!$A$2:$A$40,0))</f>
        <v>21.9</v>
      </c>
      <c r="C14" s="2">
        <f>INDEX(Dataset!$N$2:$N$40,MATCH(Task_2!A14,Dataset!$A$2:$A$40,0))</f>
        <v>61.5</v>
      </c>
      <c r="D14" s="2">
        <f>INDEX(Dataset!$R$2:$R$40,MATCH(Task_2!A14,Dataset!$A$2:$A$40,0))</f>
        <v>40.1</v>
      </c>
      <c r="E14" s="2">
        <f>INDEX(Dataset!$T$2:$T$40,MATCH(Task_2!A14,Dataset!$A$2:$A$40,0))</f>
        <v>76.599999999999994</v>
      </c>
      <c r="F14" s="2">
        <f>INDEX(Dataset!$V$2:$V$40,MATCH(Task_2!A14,Dataset!$A$2:$A$40,0))</f>
        <v>40.1</v>
      </c>
    </row>
    <row r="15" spans="1:6" x14ac:dyDescent="0.3">
      <c r="B15" s="2">
        <f>INDEX(Dataset!$G$2:$G$40,MATCH(Task_2!A15,Dataset!$A$2:$A$40,0))</f>
        <v>26.8</v>
      </c>
      <c r="C15" s="2">
        <f>INDEX(Dataset!$N$2:$N$40,MATCH(Task_2!A15,Dataset!$A$2:$A$40,0))</f>
        <v>79.599999999999994</v>
      </c>
      <c r="D15" s="2">
        <f>INDEX(Dataset!$R$2:$R$40,MATCH(Task_2!A15,Dataset!$A$2:$A$40,0))</f>
        <v>47.9</v>
      </c>
      <c r="E15" s="2">
        <f>INDEX(Dataset!$T$2:$T$40,MATCH(Task_2!A15,Dataset!$A$2:$A$40,0))</f>
        <v>96.8</v>
      </c>
      <c r="F15" s="2">
        <f>INDEX(Dataset!$V$2:$V$40,MATCH(Task_2!A15,Dataset!$A$2:$A$40,0))</f>
        <v>47.9</v>
      </c>
    </row>
    <row r="16" spans="1:6" x14ac:dyDescent="0.3">
      <c r="B16" s="2">
        <f>INDEX(Dataset!$G$2:$G$40,MATCH(Task_2!A16,Dataset!$A$2:$A$40,0))</f>
        <v>28.5</v>
      </c>
      <c r="C16" s="2">
        <f>INDEX(Dataset!$N$2:$N$40,MATCH(Task_2!A16,Dataset!$A$2:$A$40,0))</f>
        <v>85.4</v>
      </c>
      <c r="D16" s="2">
        <f>INDEX(Dataset!$R$2:$R$40,MATCH(Task_2!A16,Dataset!$A$2:$A$40,0))</f>
        <v>52.3</v>
      </c>
      <c r="E16" s="2">
        <f>INDEX(Dataset!$T$2:$T$40,MATCH(Task_2!A16,Dataset!$A$2:$A$40,0))</f>
        <v>106.1</v>
      </c>
      <c r="F16" s="2">
        <f>INDEX(Dataset!$V$2:$V$40,MATCH(Task_2!A16,Dataset!$A$2:$A$40,0))</f>
        <v>52.3</v>
      </c>
    </row>
    <row r="17" spans="2:6" x14ac:dyDescent="0.3">
      <c r="B17" s="2">
        <f>INDEX(Dataset!$G$2:$G$40,MATCH(Task_2!A17,Dataset!$A$2:$A$40,0))</f>
        <v>30.7</v>
      </c>
      <c r="C17" s="2">
        <f>INDEX(Dataset!$N$2:$N$40,MATCH(Task_2!A17,Dataset!$A$2:$A$40,0))</f>
        <v>92.1</v>
      </c>
      <c r="D17" s="2">
        <f>INDEX(Dataset!$R$2:$R$40,MATCH(Task_2!A17,Dataset!$A$2:$A$40,0))</f>
        <v>57</v>
      </c>
      <c r="E17" s="2">
        <f>INDEX(Dataset!$T$2:$T$40,MATCH(Task_2!A17,Dataset!$A$2:$A$40,0))</f>
        <v>115.1</v>
      </c>
      <c r="F17" s="2">
        <f>INDEX(Dataset!$V$2:$V$40,MATCH(Task_2!A17,Dataset!$A$2:$A$40,0))</f>
        <v>57</v>
      </c>
    </row>
    <row r="18" spans="2:6" x14ac:dyDescent="0.3">
      <c r="B18" s="2">
        <f>INDEX(Dataset!$G$2:$G$40,MATCH(Task_2!A18,Dataset!$A$2:$A$40,0))</f>
        <v>33.799999999999997</v>
      </c>
      <c r="C18" s="2">
        <f>INDEX(Dataset!$N$2:$N$40,MATCH(Task_2!A18,Dataset!$A$2:$A$40,0))</f>
        <v>101.3</v>
      </c>
      <c r="D18" s="2">
        <f>INDEX(Dataset!$R$2:$R$40,MATCH(Task_2!A18,Dataset!$A$2:$A$40,0))</f>
        <v>61.4</v>
      </c>
      <c r="E18" s="2">
        <f>INDEX(Dataset!$T$2:$T$40,MATCH(Task_2!A18,Dataset!$A$2:$A$40,0))</f>
        <v>124.4</v>
      </c>
      <c r="F18" s="2">
        <f>INDEX(Dataset!$V$2:$V$40,MATCH(Task_2!A18,Dataset!$A$2:$A$40,0))</f>
        <v>61.4</v>
      </c>
    </row>
    <row r="19" spans="2:6" x14ac:dyDescent="0.3">
      <c r="B19" s="2">
        <f>INDEX(Dataset!$G$2:$G$40,MATCH(Task_2!A19,Dataset!$A$2:$A$40,0))</f>
        <v>34.700000000000003</v>
      </c>
      <c r="C19" s="2">
        <f>INDEX(Dataset!$N$2:$N$40,MATCH(Task_2!A19,Dataset!$A$2:$A$40,0))</f>
        <v>106.1</v>
      </c>
      <c r="D19" s="2">
        <f>INDEX(Dataset!$R$2:$R$40,MATCH(Task_2!A19,Dataset!$A$2:$A$40,0))</f>
        <v>63.6</v>
      </c>
      <c r="E19" s="2">
        <f>INDEX(Dataset!$T$2:$T$40,MATCH(Task_2!A19,Dataset!$A$2:$A$40,0))</f>
        <v>128.6</v>
      </c>
      <c r="F19" s="2">
        <f>INDEX(Dataset!$V$2:$V$40,MATCH(Task_2!A19,Dataset!$A$2:$A$40,0))</f>
        <v>63.6</v>
      </c>
    </row>
    <row r="20" spans="2:6" x14ac:dyDescent="0.3">
      <c r="B20" s="2">
        <f>INDEX(Dataset!$G$2:$G$40,MATCH(Task_2!A20,Dataset!$A$2:$A$40,0))</f>
        <v>0</v>
      </c>
      <c r="C20" s="2">
        <f>INDEX(Dataset!$N$2:$N$40,MATCH(Task_2!A20,Dataset!$A$2:$A$40,0))</f>
        <v>0</v>
      </c>
      <c r="D20" s="2">
        <f>INDEX(Dataset!$R$2:$R$40,MATCH(Task_2!A20,Dataset!$A$2:$A$40,0))</f>
        <v>0</v>
      </c>
      <c r="E20" s="2">
        <f>INDEX(Dataset!$T$2:$T$40,MATCH(Task_2!A20,Dataset!$A$2:$A$40,0))</f>
        <v>0</v>
      </c>
      <c r="F20" s="2">
        <f>INDEX(Dataset!$V$2:$V$40,MATCH(Task_2!A20,Dataset!$A$2:$A$40,0))</f>
        <v>0</v>
      </c>
    </row>
    <row r="21" spans="2:6" x14ac:dyDescent="0.3">
      <c r="B21" s="2">
        <f>INDEX(Dataset!$G$2:$G$40,MATCH(Task_2!A21,Dataset!$A$2:$A$40,0))</f>
        <v>41.3</v>
      </c>
      <c r="C21" s="2">
        <f>INDEX(Dataset!$N$2:$N$40,MATCH(Task_2!A21,Dataset!$A$2:$A$40,0))</f>
        <v>124.4</v>
      </c>
      <c r="D21" s="2">
        <f>INDEX(Dataset!$R$2:$R$40,MATCH(Task_2!A21,Dataset!$A$2:$A$40,0))</f>
        <v>75</v>
      </c>
      <c r="E21" s="2">
        <f>INDEX(Dataset!$T$2:$T$40,MATCH(Task_2!A21,Dataset!$A$2:$A$40,0))</f>
        <v>151.5</v>
      </c>
      <c r="F21" s="2">
        <f>INDEX(Dataset!$V$2:$V$40,MATCH(Task_2!A21,Dataset!$A$2:$A$40,0))</f>
        <v>75</v>
      </c>
    </row>
    <row r="22" spans="2:6" x14ac:dyDescent="0.3">
      <c r="B22" s="2">
        <f>INDEX(Dataset!$G$2:$G$40,MATCH(Task_2!A22,Dataset!$A$2:$A$40,0))</f>
        <v>-1</v>
      </c>
      <c r="C22" s="2">
        <f>INDEX(Dataset!$N$2:$N$40,MATCH(Task_2!A22,Dataset!$A$2:$A$40,0))</f>
        <v>-1</v>
      </c>
      <c r="D22" s="2">
        <f>INDEX(Dataset!$R$2:$R$40,MATCH(Task_2!A22,Dataset!$A$2:$A$40,0))</f>
        <v>-1</v>
      </c>
      <c r="E22" s="2">
        <f>INDEX(Dataset!$T$2:$T$40,MATCH(Task_2!A22,Dataset!$A$2:$A$40,0))</f>
        <v>-1</v>
      </c>
      <c r="F22" s="2">
        <f>INDEX(Dataset!$V$2:$V$40,MATCH(Task_2!A22,Dataset!$A$2:$A$40,0))</f>
        <v>-1</v>
      </c>
    </row>
    <row r="23" spans="2:6" x14ac:dyDescent="0.3">
      <c r="B23" s="2">
        <f>INDEX(Dataset!$G$2:$G$40,MATCH(Task_2!A23,Dataset!$A$2:$A$40,0))</f>
        <v>45</v>
      </c>
      <c r="C23" s="2">
        <f>INDEX(Dataset!$N$2:$N$40,MATCH(Task_2!A23,Dataset!$A$2:$A$40,0))</f>
        <v>133.4</v>
      </c>
      <c r="D23" s="2">
        <f>INDEX(Dataset!$R$2:$R$40,MATCH(Task_2!A23,Dataset!$A$2:$A$40,0))</f>
        <v>79.400000000000006</v>
      </c>
      <c r="E23" s="2">
        <f>INDEX(Dataset!$T$2:$T$40,MATCH(Task_2!A23,Dataset!$A$2:$A$40,0))</f>
        <v>160.9</v>
      </c>
      <c r="F23" s="2">
        <f>INDEX(Dataset!$V$2:$V$40,MATCH(Task_2!A23,Dataset!$A$2:$A$40,0))</f>
        <v>79.400000000000006</v>
      </c>
    </row>
    <row r="24" spans="2:6" x14ac:dyDescent="0.3">
      <c r="B24" s="2">
        <f>INDEX(Dataset!$G$2:$G$40,MATCH(Task_2!A24,Dataset!$A$2:$A$40,0))</f>
        <v>-1</v>
      </c>
      <c r="C24" s="2">
        <f>INDEX(Dataset!$N$2:$N$40,MATCH(Task_2!A24,Dataset!$A$2:$A$40,0))</f>
        <v>-1</v>
      </c>
      <c r="D24" s="2">
        <f>INDEX(Dataset!$R$2:$R$40,MATCH(Task_2!A24,Dataset!$A$2:$A$40,0))</f>
        <v>-1</v>
      </c>
      <c r="E24" s="2">
        <f>INDEX(Dataset!$T$2:$T$40,MATCH(Task_2!A24,Dataset!$A$2:$A$40,0))</f>
        <v>-1</v>
      </c>
      <c r="F24" s="2">
        <f>INDEX(Dataset!$V$2:$V$40,MATCH(Task_2!A24,Dataset!$A$2:$A$40,0))</f>
        <v>-1</v>
      </c>
    </row>
    <row r="25" spans="2:6" x14ac:dyDescent="0.3">
      <c r="B25" s="2">
        <f>INDEX(Dataset!$G$2:$G$40,MATCH(Task_2!A25,Dataset!$A$2:$A$40,0))</f>
        <v>43.3</v>
      </c>
      <c r="C25" s="2">
        <f>INDEX(Dataset!$N$2:$N$40,MATCH(Task_2!A25,Dataset!$A$2:$A$40,0))</f>
        <v>128.6</v>
      </c>
      <c r="D25" s="2">
        <f>INDEX(Dataset!$R$2:$R$40,MATCH(Task_2!A25,Dataset!$A$2:$A$40,0))</f>
        <v>79.400000000000006</v>
      </c>
      <c r="E25" s="2">
        <f>INDEX(Dataset!$T$2:$T$40,MATCH(Task_2!A25,Dataset!$A$2:$A$40,0))</f>
        <v>160.9</v>
      </c>
      <c r="F25" s="2">
        <f>INDEX(Dataset!$V$2:$V$40,MATCH(Task_2!A25,Dataset!$A$2:$A$40,0))</f>
        <v>79.400000000000006</v>
      </c>
    </row>
    <row r="26" spans="2:6" x14ac:dyDescent="0.3">
      <c r="B26" s="2">
        <f>INDEX(Dataset!$G$2:$G$40,MATCH(Task_2!A26,Dataset!$A$2:$A$40,0))</f>
        <v>49.1</v>
      </c>
      <c r="C26" s="2">
        <f>INDEX(Dataset!$N$2:$N$40,MATCH(Task_2!A26,Dataset!$A$2:$A$40,0))</f>
        <v>146.80000000000001</v>
      </c>
      <c r="D26" s="2">
        <f>INDEX(Dataset!$R$2:$R$40,MATCH(Task_2!A26,Dataset!$A$2:$A$40,0))</f>
        <v>90.9</v>
      </c>
      <c r="E26" s="2">
        <f>INDEX(Dataset!$T$2:$T$40,MATCH(Task_2!A26,Dataset!$A$2:$A$40,0))</f>
        <v>183.5</v>
      </c>
      <c r="F26" s="2">
        <f>INDEX(Dataset!$V$2:$V$40,MATCH(Task_2!A26,Dataset!$A$2:$A$40,0))</f>
        <v>90.9</v>
      </c>
    </row>
    <row r="27" spans="2:6" x14ac:dyDescent="0.3">
      <c r="B27" s="2">
        <f>INDEX(Dataset!$G$2:$G$40,MATCH(Task_2!A27,Dataset!$A$2:$A$40,0))</f>
        <v>51.8</v>
      </c>
      <c r="C27" s="2">
        <f>INDEX(Dataset!$N$2:$N$40,MATCH(Task_2!A27,Dataset!$A$2:$A$40,0))</f>
        <v>156.4</v>
      </c>
      <c r="D27" s="2">
        <f>INDEX(Dataset!$R$2:$R$40,MATCH(Task_2!A27,Dataset!$A$2:$A$40,0))</f>
        <v>93.1</v>
      </c>
      <c r="E27" s="2">
        <f>INDEX(Dataset!$T$2:$T$40,MATCH(Task_2!A27,Dataset!$A$2:$A$40,0))</f>
        <v>188.1</v>
      </c>
      <c r="F27" s="2">
        <f>INDEX(Dataset!$V$2:$V$40,MATCH(Task_2!A27,Dataset!$A$2:$A$40,0))</f>
        <v>93.1</v>
      </c>
    </row>
    <row r="28" spans="2:6" x14ac:dyDescent="0.3">
      <c r="B28" s="2">
        <f>MIN(B6:B27)</f>
        <v>-1</v>
      </c>
      <c r="C28" s="2">
        <f t="shared" ref="C28:F28" si="0">MIN(C6:C27)</f>
        <v>-1</v>
      </c>
      <c r="D28" s="2">
        <f t="shared" si="0"/>
        <v>-1</v>
      </c>
      <c r="E28" s="2">
        <f t="shared" si="0"/>
        <v>-1</v>
      </c>
      <c r="F28" s="2">
        <f t="shared" si="0"/>
        <v>-1</v>
      </c>
    </row>
    <row r="29" spans="2:6" x14ac:dyDescent="0.3">
      <c r="B29" s="2">
        <f>MAX(B6:B27)</f>
        <v>51.8</v>
      </c>
      <c r="C29" s="2">
        <f t="shared" ref="C29:F29" si="1">MAX(C6:C27)</f>
        <v>156.4</v>
      </c>
      <c r="D29" s="2">
        <f t="shared" si="1"/>
        <v>93.1</v>
      </c>
      <c r="E29" s="2">
        <f t="shared" si="1"/>
        <v>188.1</v>
      </c>
      <c r="F29" s="2">
        <f t="shared" si="1"/>
        <v>93.1</v>
      </c>
    </row>
    <row r="30" spans="2:6" x14ac:dyDescent="0.3">
      <c r="B30" s="2">
        <f>AVERAGE(B6:B27)</f>
        <v>20.827272727272728</v>
      </c>
      <c r="C30" s="2">
        <f t="shared" ref="C30:F30" si="2">AVERAGE(C6:C27)</f>
        <v>62.377272727272725</v>
      </c>
      <c r="D30" s="2">
        <f t="shared" si="2"/>
        <v>37.800000000000004</v>
      </c>
      <c r="E30" s="2">
        <f t="shared" si="2"/>
        <v>76.418181818181822</v>
      </c>
      <c r="F30" s="2">
        <f t="shared" si="2"/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zoomScaleNormal="100" workbookViewId="0">
      <selection activeCell="C36" sqref="C36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7" customFormat="1" ht="21" x14ac:dyDescent="0.4">
      <c r="A1" s="38" t="s">
        <v>55</v>
      </c>
      <c r="B1" s="37" t="s">
        <v>162</v>
      </c>
    </row>
    <row r="2" spans="1:7" s="37" customFormat="1" ht="21" x14ac:dyDescent="0.4">
      <c r="B2" s="37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5" t="s">
        <v>160</v>
      </c>
      <c r="B4" s="1"/>
      <c r="C4" s="1"/>
      <c r="D4" s="1"/>
      <c r="E4" s="1"/>
      <c r="F4" s="1"/>
      <c r="G4" s="1"/>
    </row>
    <row r="5" spans="1:7" ht="14.4" x14ac:dyDescent="0.3">
      <c r="A5" s="17" t="s">
        <v>64</v>
      </c>
      <c r="B5" s="18" t="s">
        <v>78</v>
      </c>
      <c r="C5" s="19" t="s">
        <v>70</v>
      </c>
      <c r="D5" s="18" t="s">
        <v>74</v>
      </c>
      <c r="E5" s="19" t="s">
        <v>75</v>
      </c>
      <c r="F5" s="20" t="s">
        <v>76</v>
      </c>
    </row>
    <row r="6" spans="1:7" ht="14.4" x14ac:dyDescent="0.3">
      <c r="A6" s="7" t="s">
        <v>40</v>
      </c>
      <c r="B6" s="10">
        <f>INDEX(Dataset!$G$2:$G$40,MATCH(Task_2!A6,Dataset!$A$2:$A$40,0))</f>
        <v>2.7</v>
      </c>
      <c r="C6" s="10">
        <f>INDEX(Dataset!$N$2:$N$40,MATCH(Task_2!A6,Dataset!$A$2:$A$40,0))</f>
        <v>7.6</v>
      </c>
      <c r="D6" s="10">
        <f>INDEX(Dataset!$R$2:$R$40,MATCH(Task_2!A6,Dataset!$A$2:$A$40,0))</f>
        <v>4.2</v>
      </c>
      <c r="E6" s="10">
        <f>INDEX(Dataset!$T$2:$T$40,MATCH(Task_2!A6,Dataset!$A$2:$A$40,0))</f>
        <v>8.9</v>
      </c>
      <c r="F6" s="10">
        <f>INDEX(Dataset!$V$2:$V$40,MATCH(Task_2!A6,Dataset!$A$2:$A$40,0))</f>
        <v>4.2</v>
      </c>
    </row>
    <row r="7" spans="1:7" ht="14.4" x14ac:dyDescent="0.3">
      <c r="A7" s="7" t="s">
        <v>4</v>
      </c>
      <c r="B7" s="10">
        <f>INDEX(Dataset!$G$2:$G$40,MATCH(Task_2!A7,Dataset!$A$2:$A$40,0))</f>
        <v>2.7</v>
      </c>
      <c r="C7" s="10">
        <f>INDEX(Dataset!$N$2:$N$40,MATCH(Task_2!A7,Dataset!$A$2:$A$40,0))</f>
        <v>7.6</v>
      </c>
      <c r="D7" s="10">
        <f>INDEX(Dataset!$R$2:$R$40,MATCH(Task_2!A7,Dataset!$A$2:$A$40,0))</f>
        <v>4.2</v>
      </c>
      <c r="E7" s="10">
        <f>INDEX(Dataset!$T$2:$T$40,MATCH(Task_2!A7,Dataset!$A$2:$A$40,0))</f>
        <v>8.9</v>
      </c>
      <c r="F7" s="10">
        <f>INDEX(Dataset!$V$2:$V$40,MATCH(Task_2!A7,Dataset!$A$2:$A$40,0))</f>
        <v>4.2</v>
      </c>
    </row>
    <row r="8" spans="1:7" ht="14.4" x14ac:dyDescent="0.3">
      <c r="A8" s="7" t="s">
        <v>7</v>
      </c>
      <c r="B8" s="10">
        <f>INDEX(Dataset!$G$2:$G$40,MATCH(Task_2!A8,Dataset!$A$2:$A$40,0))</f>
        <v>3.6</v>
      </c>
      <c r="C8" s="10">
        <f>INDEX(Dataset!$N$2:$N$40,MATCH(Task_2!A8,Dataset!$A$2:$A$40,0))</f>
        <v>11.1</v>
      </c>
      <c r="D8" s="10">
        <f>INDEX(Dataset!$R$2:$R$40,MATCH(Task_2!A8,Dataset!$A$2:$A$40,0))</f>
        <v>5.8</v>
      </c>
      <c r="E8" s="10">
        <f>INDEX(Dataset!$T$2:$T$40,MATCH(Task_2!A8,Dataset!$A$2:$A$40,0))</f>
        <v>12.2</v>
      </c>
      <c r="F8" s="10">
        <f>INDEX(Dataset!$V$2:$V$40,MATCH(Task_2!A8,Dataset!$A$2:$A$40,0))</f>
        <v>5.8</v>
      </c>
    </row>
    <row r="9" spans="1:7" ht="14.4" x14ac:dyDescent="0.3">
      <c r="A9" s="7" t="s">
        <v>8</v>
      </c>
      <c r="B9" s="10">
        <f>INDEX(Dataset!$G$2:$G$40,MATCH(Task_2!A9,Dataset!$A$2:$A$40,0))</f>
        <v>4.9000000000000004</v>
      </c>
      <c r="C9" s="10">
        <f>INDEX(Dataset!$N$2:$N$40,MATCH(Task_2!A9,Dataset!$A$2:$A$40,0))</f>
        <v>13.3</v>
      </c>
      <c r="D9" s="10">
        <f>INDEX(Dataset!$R$2:$R$40,MATCH(Task_2!A9,Dataset!$A$2:$A$40,0))</f>
        <v>8.1</v>
      </c>
      <c r="E9" s="10">
        <f>INDEX(Dataset!$T$2:$T$40,MATCH(Task_2!A9,Dataset!$A$2:$A$40,0))</f>
        <v>17</v>
      </c>
      <c r="F9" s="10">
        <f>INDEX(Dataset!$V$2:$V$40,MATCH(Task_2!A9,Dataset!$A$2:$A$40,0))</f>
        <v>8.1</v>
      </c>
    </row>
    <row r="10" spans="1:7" ht="14.4" x14ac:dyDescent="0.3">
      <c r="A10" s="7" t="s">
        <v>11</v>
      </c>
      <c r="B10" s="10">
        <f>INDEX(Dataset!$G$2:$G$40,MATCH(Task_2!A10,Dataset!$A$2:$A$40,0))</f>
        <v>9.4</v>
      </c>
      <c r="C10" s="10">
        <f>INDEX(Dataset!$N$2:$N$40,MATCH(Task_2!A10,Dataset!$A$2:$A$40,0))</f>
        <v>28.3</v>
      </c>
      <c r="D10" s="10">
        <f>INDEX(Dataset!$R$2:$R$40,MATCH(Task_2!A10,Dataset!$A$2:$A$40,0))</f>
        <v>16.100000000000001</v>
      </c>
      <c r="E10" s="10">
        <f>INDEX(Dataset!$T$2:$T$40,MATCH(Task_2!A10,Dataset!$A$2:$A$40,0))</f>
        <v>32.799999999999997</v>
      </c>
      <c r="F10" s="10">
        <f>INDEX(Dataset!$V$2:$V$40,MATCH(Task_2!A10,Dataset!$A$2:$A$40,0))</f>
        <v>16.100000000000001</v>
      </c>
    </row>
    <row r="11" spans="1:7" ht="14.4" x14ac:dyDescent="0.3">
      <c r="A11" s="7" t="s">
        <v>12</v>
      </c>
      <c r="B11" s="10">
        <f>INDEX(Dataset!$G$2:$G$40,MATCH(Task_2!A11,Dataset!$A$2:$A$40,0))</f>
        <v>11.6</v>
      </c>
      <c r="C11" s="10">
        <f>INDEX(Dataset!$N$2:$N$40,MATCH(Task_2!A11,Dataset!$A$2:$A$40,0))</f>
        <v>35.200000000000003</v>
      </c>
      <c r="D11" s="10">
        <f>INDEX(Dataset!$R$2:$R$40,MATCH(Task_2!A11,Dataset!$A$2:$A$40,0))</f>
        <v>21.3</v>
      </c>
      <c r="E11" s="10">
        <f>INDEX(Dataset!$T$2:$T$40,MATCH(Task_2!A11,Dataset!$A$2:$A$40,0))</f>
        <v>43</v>
      </c>
      <c r="F11" s="10">
        <f>INDEX(Dataset!$V$2:$V$40,MATCH(Task_2!A11,Dataset!$A$2:$A$40,0))</f>
        <v>21.3</v>
      </c>
    </row>
    <row r="12" spans="1:7" ht="14.4" x14ac:dyDescent="0.3">
      <c r="A12" s="7" t="s">
        <v>14</v>
      </c>
      <c r="B12" s="10">
        <f>INDEX(Dataset!$G$2:$G$40,MATCH(Task_2!A12,Dataset!$A$2:$A$40,0))</f>
        <v>18.399999999999999</v>
      </c>
      <c r="C12" s="10">
        <f>INDEX(Dataset!$N$2:$N$40,MATCH(Task_2!A12,Dataset!$A$2:$A$40,0))</f>
        <v>55.6</v>
      </c>
      <c r="D12" s="10">
        <f>INDEX(Dataset!$R$2:$R$40,MATCH(Task_2!A12,Dataset!$A$2:$A$40,0))</f>
        <v>33.799999999999997</v>
      </c>
      <c r="E12" s="10">
        <f>INDEX(Dataset!$T$2:$T$40,MATCH(Task_2!A12,Dataset!$A$2:$A$40,0))</f>
        <v>67.900000000000006</v>
      </c>
      <c r="F12" s="10">
        <f>INDEX(Dataset!$V$2:$V$40,MATCH(Task_2!A12,Dataset!$A$2:$A$40,0))</f>
        <v>33.799999999999997</v>
      </c>
    </row>
    <row r="13" spans="1:7" ht="14.4" x14ac:dyDescent="0.3">
      <c r="A13" s="7" t="s">
        <v>15</v>
      </c>
      <c r="B13" s="10">
        <f>INDEX(Dataset!$G$2:$G$40,MATCH(Task_2!A13,Dataset!$A$2:$A$40,0))</f>
        <v>0</v>
      </c>
      <c r="C13" s="10">
        <f>INDEX(Dataset!$N$2:$N$40,MATCH(Task_2!A13,Dataset!$A$2:$A$40,0))</f>
        <v>0</v>
      </c>
      <c r="D13" s="10">
        <f>INDEX(Dataset!$R$2:$R$40,MATCH(Task_2!A13,Dataset!$A$2:$A$40,0))</f>
        <v>0</v>
      </c>
      <c r="E13" s="10">
        <f>INDEX(Dataset!$T$2:$T$40,MATCH(Task_2!A13,Dataset!$A$2:$A$40,0))</f>
        <v>0</v>
      </c>
      <c r="F13" s="10">
        <f>INDEX(Dataset!$V$2:$V$40,MATCH(Task_2!A13,Dataset!$A$2:$A$40,0))</f>
        <v>0</v>
      </c>
    </row>
    <row r="14" spans="1:7" ht="14.4" x14ac:dyDescent="0.3">
      <c r="A14" s="7" t="s">
        <v>16</v>
      </c>
      <c r="B14" s="10">
        <f>INDEX(Dataset!$G$2:$G$40,MATCH(Task_2!A14,Dataset!$A$2:$A$40,0))</f>
        <v>21.9</v>
      </c>
      <c r="C14" s="10">
        <f>INDEX(Dataset!$N$2:$N$40,MATCH(Task_2!A14,Dataset!$A$2:$A$40,0))</f>
        <v>61.5</v>
      </c>
      <c r="D14" s="10">
        <f>INDEX(Dataset!$R$2:$R$40,MATCH(Task_2!A14,Dataset!$A$2:$A$40,0))</f>
        <v>40.1</v>
      </c>
      <c r="E14" s="10">
        <f>INDEX(Dataset!$T$2:$T$40,MATCH(Task_2!A14,Dataset!$A$2:$A$40,0))</f>
        <v>76.599999999999994</v>
      </c>
      <c r="F14" s="10">
        <f>INDEX(Dataset!$V$2:$V$40,MATCH(Task_2!A14,Dataset!$A$2:$A$40,0))</f>
        <v>40.1</v>
      </c>
    </row>
    <row r="15" spans="1:7" ht="14.4" x14ac:dyDescent="0.3">
      <c r="A15" s="7" t="s">
        <v>18</v>
      </c>
      <c r="B15" s="10">
        <f>INDEX(Dataset!$G$2:$G$40,MATCH(Task_2!A15,Dataset!$A$2:$A$40,0))</f>
        <v>26.8</v>
      </c>
      <c r="C15" s="10">
        <f>INDEX(Dataset!$N$2:$N$40,MATCH(Task_2!A15,Dataset!$A$2:$A$40,0))</f>
        <v>79.599999999999994</v>
      </c>
      <c r="D15" s="10">
        <f>INDEX(Dataset!$R$2:$R$40,MATCH(Task_2!A15,Dataset!$A$2:$A$40,0))</f>
        <v>47.9</v>
      </c>
      <c r="E15" s="10">
        <f>INDEX(Dataset!$T$2:$T$40,MATCH(Task_2!A15,Dataset!$A$2:$A$40,0))</f>
        <v>96.8</v>
      </c>
      <c r="F15" s="10">
        <f>INDEX(Dataset!$V$2:$V$40,MATCH(Task_2!A15,Dataset!$A$2:$A$40,0))</f>
        <v>47.9</v>
      </c>
    </row>
    <row r="16" spans="1:7" ht="14.4" x14ac:dyDescent="0.3">
      <c r="A16" s="7" t="s">
        <v>20</v>
      </c>
      <c r="B16" s="10">
        <f>INDEX(Dataset!$G$2:$G$40,MATCH(Task_2!A16,Dataset!$A$2:$A$40,0))</f>
        <v>28.5</v>
      </c>
      <c r="C16" s="10">
        <f>INDEX(Dataset!$N$2:$N$40,MATCH(Task_2!A16,Dataset!$A$2:$A$40,0))</f>
        <v>85.4</v>
      </c>
      <c r="D16" s="10">
        <f>INDEX(Dataset!$R$2:$R$40,MATCH(Task_2!A16,Dataset!$A$2:$A$40,0))</f>
        <v>52.3</v>
      </c>
      <c r="E16" s="10">
        <f>INDEX(Dataset!$T$2:$T$40,MATCH(Task_2!A16,Dataset!$A$2:$A$40,0))</f>
        <v>106.1</v>
      </c>
      <c r="F16" s="10">
        <f>INDEX(Dataset!$V$2:$V$40,MATCH(Task_2!A16,Dataset!$A$2:$A$40,0))</f>
        <v>52.3</v>
      </c>
    </row>
    <row r="17" spans="1:6" ht="14.4" x14ac:dyDescent="0.3">
      <c r="A17" s="7" t="s">
        <v>22</v>
      </c>
      <c r="B17" s="10">
        <f>INDEX(Dataset!$G$2:$G$40,MATCH(Task_2!A17,Dataset!$A$2:$A$40,0))</f>
        <v>30.7</v>
      </c>
      <c r="C17" s="10">
        <f>INDEX(Dataset!$N$2:$N$40,MATCH(Task_2!A17,Dataset!$A$2:$A$40,0))</f>
        <v>92.1</v>
      </c>
      <c r="D17" s="10">
        <f>INDEX(Dataset!$R$2:$R$40,MATCH(Task_2!A17,Dataset!$A$2:$A$40,0))</f>
        <v>57</v>
      </c>
      <c r="E17" s="10">
        <f>INDEX(Dataset!$T$2:$T$40,MATCH(Task_2!A17,Dataset!$A$2:$A$40,0))</f>
        <v>115.1</v>
      </c>
      <c r="F17" s="10">
        <f>INDEX(Dataset!$V$2:$V$40,MATCH(Task_2!A17,Dataset!$A$2:$A$40,0))</f>
        <v>57</v>
      </c>
    </row>
    <row r="18" spans="1:6" ht="14.4" x14ac:dyDescent="0.3">
      <c r="A18" s="7" t="s">
        <v>23</v>
      </c>
      <c r="B18" s="10">
        <f>INDEX(Dataset!$G$2:$G$40,MATCH(Task_2!A18,Dataset!$A$2:$A$40,0))</f>
        <v>33.799999999999997</v>
      </c>
      <c r="C18" s="10">
        <f>INDEX(Dataset!$N$2:$N$40,MATCH(Task_2!A18,Dataset!$A$2:$A$40,0))</f>
        <v>101.3</v>
      </c>
      <c r="D18" s="10">
        <f>INDEX(Dataset!$R$2:$R$40,MATCH(Task_2!A18,Dataset!$A$2:$A$40,0))</f>
        <v>61.4</v>
      </c>
      <c r="E18" s="10">
        <f>INDEX(Dataset!$T$2:$T$40,MATCH(Task_2!A18,Dataset!$A$2:$A$40,0))</f>
        <v>124.4</v>
      </c>
      <c r="F18" s="10">
        <f>INDEX(Dataset!$V$2:$V$40,MATCH(Task_2!A18,Dataset!$A$2:$A$40,0))</f>
        <v>61.4</v>
      </c>
    </row>
    <row r="19" spans="1:6" ht="14.4" x14ac:dyDescent="0.3">
      <c r="A19" s="7" t="s">
        <v>24</v>
      </c>
      <c r="B19" s="10">
        <f>INDEX(Dataset!$G$2:$G$40,MATCH(Task_2!A19,Dataset!$A$2:$A$40,0))</f>
        <v>34.700000000000003</v>
      </c>
      <c r="C19" s="10">
        <f>INDEX(Dataset!$N$2:$N$40,MATCH(Task_2!A19,Dataset!$A$2:$A$40,0))</f>
        <v>106.1</v>
      </c>
      <c r="D19" s="10">
        <f>INDEX(Dataset!$R$2:$R$40,MATCH(Task_2!A19,Dataset!$A$2:$A$40,0))</f>
        <v>63.6</v>
      </c>
      <c r="E19" s="10">
        <f>INDEX(Dataset!$T$2:$T$40,MATCH(Task_2!A19,Dataset!$A$2:$A$40,0))</f>
        <v>128.6</v>
      </c>
      <c r="F19" s="10">
        <f>INDEX(Dataset!$V$2:$V$40,MATCH(Task_2!A19,Dataset!$A$2:$A$40,0))</f>
        <v>63.6</v>
      </c>
    </row>
    <row r="20" spans="1:6" ht="14.4" x14ac:dyDescent="0.3">
      <c r="A20" s="7" t="s">
        <v>28</v>
      </c>
      <c r="B20" s="10">
        <f>INDEX(Dataset!$G$2:$G$40,MATCH(Task_2!A20,Dataset!$A$2:$A$40,0))</f>
        <v>0</v>
      </c>
      <c r="C20" s="10">
        <f>INDEX(Dataset!$N$2:$N$40,MATCH(Task_2!A20,Dataset!$A$2:$A$40,0))</f>
        <v>0</v>
      </c>
      <c r="D20" s="10">
        <f>INDEX(Dataset!$R$2:$R$40,MATCH(Task_2!A20,Dataset!$A$2:$A$40,0))</f>
        <v>0</v>
      </c>
      <c r="E20" s="10">
        <f>INDEX(Dataset!$T$2:$T$40,MATCH(Task_2!A20,Dataset!$A$2:$A$40,0))</f>
        <v>0</v>
      </c>
      <c r="F20" s="10">
        <f>INDEX(Dataset!$V$2:$V$40,MATCH(Task_2!A20,Dataset!$A$2:$A$40,0))</f>
        <v>0</v>
      </c>
    </row>
    <row r="21" spans="1:6" ht="14.4" x14ac:dyDescent="0.3">
      <c r="A21" s="7" t="s">
        <v>57</v>
      </c>
      <c r="B21" s="10">
        <f>INDEX(Dataset!$G$2:$G$40,MATCH(Task_2!A21,Dataset!$A$2:$A$40,0))</f>
        <v>41.3</v>
      </c>
      <c r="C21" s="10">
        <f>INDEX(Dataset!$N$2:$N$40,MATCH(Task_2!A21,Dataset!$A$2:$A$40,0))</f>
        <v>124.4</v>
      </c>
      <c r="D21" s="10">
        <f>INDEX(Dataset!$R$2:$R$40,MATCH(Task_2!A21,Dataset!$A$2:$A$40,0))</f>
        <v>75</v>
      </c>
      <c r="E21" s="10">
        <f>INDEX(Dataset!$T$2:$T$40,MATCH(Task_2!A21,Dataset!$A$2:$A$40,0))</f>
        <v>151.5</v>
      </c>
      <c r="F21" s="10">
        <f>INDEX(Dataset!$V$2:$V$40,MATCH(Task_2!A21,Dataset!$A$2:$A$40,0))</f>
        <v>75</v>
      </c>
    </row>
    <row r="22" spans="1:6" ht="14.4" x14ac:dyDescent="0.3">
      <c r="A22" s="7" t="s">
        <v>58</v>
      </c>
      <c r="B22" s="10">
        <f>INDEX(Dataset!$G$2:$G$40,MATCH(Task_2!A22,Dataset!$A$2:$A$40,0))</f>
        <v>-1</v>
      </c>
      <c r="C22" s="10">
        <f>INDEX(Dataset!$N$2:$N$40,MATCH(Task_2!A22,Dataset!$A$2:$A$40,0))</f>
        <v>-1</v>
      </c>
      <c r="D22" s="10">
        <f>INDEX(Dataset!$R$2:$R$40,MATCH(Task_2!A22,Dataset!$A$2:$A$40,0))</f>
        <v>-1</v>
      </c>
      <c r="E22" s="10">
        <f>INDEX(Dataset!$T$2:$T$40,MATCH(Task_2!A22,Dataset!$A$2:$A$40,0))</f>
        <v>-1</v>
      </c>
      <c r="F22" s="10">
        <f>INDEX(Dataset!$V$2:$V$40,MATCH(Task_2!A22,Dataset!$A$2:$A$40,0))</f>
        <v>-1</v>
      </c>
    </row>
    <row r="23" spans="1:6" ht="14.4" x14ac:dyDescent="0.3">
      <c r="A23" s="7" t="s">
        <v>31</v>
      </c>
      <c r="B23" s="10">
        <f>INDEX(Dataset!$G$2:$G$40,MATCH(Task_2!A23,Dataset!$A$2:$A$40,0))</f>
        <v>45</v>
      </c>
      <c r="C23" s="10">
        <f>INDEX(Dataset!$N$2:$N$40,MATCH(Task_2!A23,Dataset!$A$2:$A$40,0))</f>
        <v>133.4</v>
      </c>
      <c r="D23" s="10">
        <f>INDEX(Dataset!$R$2:$R$40,MATCH(Task_2!A23,Dataset!$A$2:$A$40,0))</f>
        <v>79.400000000000006</v>
      </c>
      <c r="E23" s="10">
        <f>INDEX(Dataset!$T$2:$T$40,MATCH(Task_2!A23,Dataset!$A$2:$A$40,0))</f>
        <v>160.9</v>
      </c>
      <c r="F23" s="10">
        <f>INDEX(Dataset!$V$2:$V$40,MATCH(Task_2!A23,Dataset!$A$2:$A$40,0))</f>
        <v>79.400000000000006</v>
      </c>
    </row>
    <row r="24" spans="1:6" ht="14.4" x14ac:dyDescent="0.3">
      <c r="A24" s="7" t="s">
        <v>32</v>
      </c>
      <c r="B24" s="10">
        <f>INDEX(Dataset!$G$2:$G$40,MATCH(Task_2!A24,Dataset!$A$2:$A$40,0))</f>
        <v>-1</v>
      </c>
      <c r="C24" s="10">
        <f>INDEX(Dataset!$N$2:$N$40,MATCH(Task_2!A24,Dataset!$A$2:$A$40,0))</f>
        <v>-1</v>
      </c>
      <c r="D24" s="10">
        <f>INDEX(Dataset!$R$2:$R$40,MATCH(Task_2!A24,Dataset!$A$2:$A$40,0))</f>
        <v>-1</v>
      </c>
      <c r="E24" s="10">
        <f>INDEX(Dataset!$T$2:$T$40,MATCH(Task_2!A24,Dataset!$A$2:$A$40,0))</f>
        <v>-1</v>
      </c>
      <c r="F24" s="10">
        <f>INDEX(Dataset!$V$2:$V$40,MATCH(Task_2!A24,Dataset!$A$2:$A$40,0))</f>
        <v>-1</v>
      </c>
    </row>
    <row r="25" spans="1:6" ht="14.4" x14ac:dyDescent="0.3">
      <c r="A25" s="7" t="s">
        <v>34</v>
      </c>
      <c r="B25" s="10">
        <f>INDEX(Dataset!$G$2:$G$40,MATCH(Task_2!A25,Dataset!$A$2:$A$40,0))</f>
        <v>43.3</v>
      </c>
      <c r="C25" s="10">
        <f>INDEX(Dataset!$N$2:$N$40,MATCH(Task_2!A25,Dataset!$A$2:$A$40,0))</f>
        <v>128.6</v>
      </c>
      <c r="D25" s="10">
        <f>INDEX(Dataset!$R$2:$R$40,MATCH(Task_2!A25,Dataset!$A$2:$A$40,0))</f>
        <v>79.400000000000006</v>
      </c>
      <c r="E25" s="10">
        <f>INDEX(Dataset!$T$2:$T$40,MATCH(Task_2!A25,Dataset!$A$2:$A$40,0))</f>
        <v>160.9</v>
      </c>
      <c r="F25" s="10">
        <f>INDEX(Dataset!$V$2:$V$40,MATCH(Task_2!A25,Dataset!$A$2:$A$40,0))</f>
        <v>79.400000000000006</v>
      </c>
    </row>
    <row r="26" spans="1:6" ht="14.4" x14ac:dyDescent="0.3">
      <c r="A26" s="7" t="s">
        <v>37</v>
      </c>
      <c r="B26" s="10">
        <f>INDEX(Dataset!$G$2:$G$40,MATCH(Task_2!A26,Dataset!$A$2:$A$40,0))</f>
        <v>49.1</v>
      </c>
      <c r="C26" s="10">
        <f>INDEX(Dataset!$N$2:$N$40,MATCH(Task_2!A26,Dataset!$A$2:$A$40,0))</f>
        <v>146.80000000000001</v>
      </c>
      <c r="D26" s="10">
        <f>INDEX(Dataset!$R$2:$R$40,MATCH(Task_2!A26,Dataset!$A$2:$A$40,0))</f>
        <v>90.9</v>
      </c>
      <c r="E26" s="10">
        <f>INDEX(Dataset!$T$2:$T$40,MATCH(Task_2!A26,Dataset!$A$2:$A$40,0))</f>
        <v>183.5</v>
      </c>
      <c r="F26" s="10">
        <f>INDEX(Dataset!$V$2:$V$40,MATCH(Task_2!A26,Dataset!$A$2:$A$40,0))</f>
        <v>90.9</v>
      </c>
    </row>
    <row r="27" spans="1:6" ht="14.4" x14ac:dyDescent="0.3">
      <c r="A27" s="7" t="s">
        <v>39</v>
      </c>
      <c r="B27" s="10">
        <f>INDEX(Dataset!$G$2:$G$40,MATCH(Task_2!A27,Dataset!$A$2:$A$40,0))</f>
        <v>51.8</v>
      </c>
      <c r="C27" s="10">
        <f>INDEX(Dataset!$N$2:$N$40,MATCH(Task_2!A27,Dataset!$A$2:$A$40,0))</f>
        <v>156.4</v>
      </c>
      <c r="D27" s="10">
        <f>INDEX(Dataset!$R$2:$R$40,MATCH(Task_2!A27,Dataset!$A$2:$A$40,0))</f>
        <v>93.1</v>
      </c>
      <c r="E27" s="10">
        <f>INDEX(Dataset!$T$2:$T$40,MATCH(Task_2!A27,Dataset!$A$2:$A$40,0))</f>
        <v>188.1</v>
      </c>
      <c r="F27" s="10">
        <f>INDEX(Dataset!$V$2:$V$40,MATCH(Task_2!A27,Dataset!$A$2:$A$40,0))</f>
        <v>93.1</v>
      </c>
    </row>
    <row r="28" spans="1:6" ht="14.4" x14ac:dyDescent="0.3">
      <c r="A28" s="16" t="s">
        <v>81</v>
      </c>
      <c r="B28" s="14">
        <f>MIN(B6:B27)</f>
        <v>-1</v>
      </c>
      <c r="C28" s="14">
        <f t="shared" ref="C28:F28" si="0">MIN(C6:C27)</f>
        <v>-1</v>
      </c>
      <c r="D28" s="14">
        <f t="shared" si="0"/>
        <v>-1</v>
      </c>
      <c r="E28" s="14">
        <f t="shared" si="0"/>
        <v>-1</v>
      </c>
      <c r="F28" s="14">
        <f t="shared" si="0"/>
        <v>-1</v>
      </c>
    </row>
    <row r="29" spans="1:6" ht="14.4" x14ac:dyDescent="0.3">
      <c r="A29" s="16" t="s">
        <v>82</v>
      </c>
      <c r="B29" s="14">
        <f>MAX(B6:B27)</f>
        <v>51.8</v>
      </c>
      <c r="C29" s="14">
        <f t="shared" ref="C29:F29" si="1">MAX(C6:C27)</f>
        <v>156.4</v>
      </c>
      <c r="D29" s="14">
        <f t="shared" si="1"/>
        <v>93.1</v>
      </c>
      <c r="E29" s="14">
        <f t="shared" si="1"/>
        <v>188.1</v>
      </c>
      <c r="F29" s="14">
        <f t="shared" si="1"/>
        <v>93.1</v>
      </c>
    </row>
    <row r="30" spans="1:6" ht="14.4" x14ac:dyDescent="0.3">
      <c r="A30" s="16" t="s">
        <v>83</v>
      </c>
      <c r="B30" s="14">
        <f>AVERAGE(B6:B27)</f>
        <v>20.827272727272728</v>
      </c>
      <c r="C30" s="14">
        <f t="shared" ref="C30:F30" si="2">AVERAGE(C6:C27)</f>
        <v>62.377272727272725</v>
      </c>
      <c r="D30" s="14">
        <f t="shared" si="2"/>
        <v>37.800000000000004</v>
      </c>
      <c r="E30" s="14">
        <f t="shared" si="2"/>
        <v>76.418181818181822</v>
      </c>
      <c r="F30" s="14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5"/>
  <sheetViews>
    <sheetView zoomScaleNormal="100" workbookViewId="0">
      <selection activeCell="B21" sqref="B21"/>
    </sheetView>
  </sheetViews>
  <sheetFormatPr defaultColWidth="11" defaultRowHeight="14.4" x14ac:dyDescent="0.3"/>
  <cols>
    <col min="1" max="1" width="39.77734375" style="1" bestFit="1" customWidth="1"/>
    <col min="2" max="2" width="12.44140625" style="1" bestFit="1" customWidth="1"/>
    <col min="3" max="3" width="29.33203125" style="1" customWidth="1"/>
    <col min="4" max="4" width="45.44140625" style="1" customWidth="1"/>
    <col min="5" max="5" width="38.44140625" style="1" customWidth="1"/>
    <col min="6" max="16384" width="11" style="1"/>
  </cols>
  <sheetData>
    <row r="1" spans="1:10" s="37" customFormat="1" ht="21" x14ac:dyDescent="0.4">
      <c r="A1" s="38" t="s">
        <v>56</v>
      </c>
      <c r="B1" s="37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39" t="s">
        <v>53</v>
      </c>
      <c r="B5" s="36" t="s">
        <v>179</v>
      </c>
    </row>
    <row r="6" spans="1:10" ht="18" x14ac:dyDescent="0.35">
      <c r="A6" s="49" t="s">
        <v>151</v>
      </c>
      <c r="B6" s="36" t="s">
        <v>176</v>
      </c>
    </row>
    <row r="7" spans="1:10" ht="18" x14ac:dyDescent="0.35">
      <c r="A7" s="49"/>
      <c r="B7" s="36" t="s">
        <v>177</v>
      </c>
    </row>
    <row r="8" spans="1:10" ht="18" x14ac:dyDescent="0.35">
      <c r="A8" s="49"/>
      <c r="B8" s="36" t="s">
        <v>178</v>
      </c>
    </row>
    <row r="9" spans="1:10" ht="18" x14ac:dyDescent="0.35">
      <c r="A9" s="48"/>
      <c r="B9" s="36"/>
    </row>
    <row r="10" spans="1:10" ht="23.4" x14ac:dyDescent="0.45">
      <c r="A10" s="15" t="s">
        <v>163</v>
      </c>
      <c r="I10" s="2"/>
      <c r="J10" s="2"/>
    </row>
    <row r="11" spans="1:10" x14ac:dyDescent="0.3">
      <c r="A11" s="29" t="s">
        <v>101</v>
      </c>
      <c r="B11" s="14" t="s">
        <v>49</v>
      </c>
      <c r="C11" s="14" t="s">
        <v>50</v>
      </c>
      <c r="D11" s="14" t="s">
        <v>51</v>
      </c>
      <c r="E11" s="14" t="s">
        <v>52</v>
      </c>
      <c r="F11" s="14" t="s">
        <v>54</v>
      </c>
      <c r="I11" s="2"/>
      <c r="J11" s="2"/>
    </row>
    <row r="12" spans="1:10" x14ac:dyDescent="0.3">
      <c r="A12" s="8" t="s">
        <v>119</v>
      </c>
      <c r="B12" s="11">
        <v>20000</v>
      </c>
      <c r="C12" s="11" t="s">
        <v>5</v>
      </c>
      <c r="D12" s="11">
        <v>0</v>
      </c>
      <c r="E12" s="9" t="s">
        <v>6</v>
      </c>
      <c r="F12" s="9">
        <v>24</v>
      </c>
      <c r="I12" s="2"/>
      <c r="J12" s="2"/>
    </row>
    <row r="15" spans="1:10" ht="23.4" x14ac:dyDescent="0.45">
      <c r="A15" s="15" t="s">
        <v>160</v>
      </c>
    </row>
    <row r="16" spans="1:10" x14ac:dyDescent="0.3">
      <c r="A16" s="12" t="s">
        <v>102</v>
      </c>
      <c r="B16" s="14" t="s">
        <v>49</v>
      </c>
      <c r="C16" s="13" t="s">
        <v>50</v>
      </c>
      <c r="D16" s="14" t="s">
        <v>51</v>
      </c>
      <c r="E16" s="13" t="s">
        <v>52</v>
      </c>
      <c r="F16" s="14" t="s">
        <v>54</v>
      </c>
    </row>
    <row r="17" spans="1:6" x14ac:dyDescent="0.3">
      <c r="A17" s="7" t="s">
        <v>119</v>
      </c>
      <c r="B17" s="10" t="str">
        <f>LEFT(A17,5)</f>
        <v>20000</v>
      </c>
      <c r="C17" s="1" t="str">
        <f>MID(A17,7,6)</f>
        <v>Monday</v>
      </c>
      <c r="D17" s="1" t="str">
        <f>MID(A17,14,1)</f>
        <v>0</v>
      </c>
      <c r="E17" s="1" t="str">
        <f>MID(A17,16,6)</f>
        <v>Sunday</v>
      </c>
      <c r="F17" s="10" t="str">
        <f>RIGHT(A17,2)</f>
        <v>24</v>
      </c>
    </row>
    <row r="18" spans="1:6" x14ac:dyDescent="0.3">
      <c r="A18" s="7" t="s">
        <v>120</v>
      </c>
      <c r="B18" s="10" t="str">
        <f t="shared" ref="B18:B55" si="0">LEFT(A18,5)</f>
        <v>20002</v>
      </c>
      <c r="C18" s="1" t="str">
        <f t="shared" ref="C18:C55" si="1">MID(A18,7,6)</f>
        <v>Monday</v>
      </c>
      <c r="D18" s="1" t="str">
        <f t="shared" ref="D18:D55" si="2">MID(A18,14,1)</f>
        <v>0</v>
      </c>
      <c r="E18" s="1" t="str">
        <f t="shared" ref="E18:E55" si="3">MID(A18,16,6)</f>
        <v>Sunday</v>
      </c>
      <c r="F18" s="10" t="str">
        <f t="shared" ref="F18:F55" si="4">RIGHT(A18,2)</f>
        <v>24</v>
      </c>
    </row>
    <row r="19" spans="1:6" x14ac:dyDescent="0.3">
      <c r="A19" s="7" t="s">
        <v>121</v>
      </c>
      <c r="B19" s="10" t="str">
        <f t="shared" si="0"/>
        <v>20004</v>
      </c>
      <c r="C19" s="1" t="str">
        <f t="shared" si="1"/>
        <v>Monday</v>
      </c>
      <c r="D19" s="1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">
      <c r="A20" s="7" t="s">
        <v>122</v>
      </c>
      <c r="B20" s="10" t="str">
        <f t="shared" si="0"/>
        <v>20006</v>
      </c>
      <c r="C20" s="1" t="str">
        <f t="shared" si="1"/>
        <v>Monday</v>
      </c>
      <c r="D20" s="1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">
      <c r="A21" s="7" t="s">
        <v>123</v>
      </c>
      <c r="B21" s="10" t="str">
        <f t="shared" si="0"/>
        <v>20008</v>
      </c>
      <c r="C21" s="1" t="str">
        <f t="shared" si="1"/>
        <v>Monday</v>
      </c>
      <c r="D21" s="1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">
      <c r="A22" s="7" t="s">
        <v>124</v>
      </c>
      <c r="B22" s="10" t="str">
        <f t="shared" si="0"/>
        <v>20010</v>
      </c>
      <c r="C22" s="1" t="str">
        <f t="shared" si="1"/>
        <v>Monday</v>
      </c>
      <c r="D22" s="1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">
      <c r="A23" s="7" t="s">
        <v>125</v>
      </c>
      <c r="B23" s="10" t="str">
        <f t="shared" si="0"/>
        <v>20012</v>
      </c>
      <c r="C23" s="1" t="str">
        <f t="shared" si="1"/>
        <v>Monday</v>
      </c>
      <c r="D23" s="1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">
      <c r="A24" s="7" t="s">
        <v>126</v>
      </c>
      <c r="B24" s="10" t="str">
        <f t="shared" si="0"/>
        <v>20014</v>
      </c>
      <c r="C24" s="1" t="str">
        <f t="shared" si="1"/>
        <v>Monday</v>
      </c>
      <c r="D24" s="1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">
      <c r="A25" s="7" t="s">
        <v>127</v>
      </c>
      <c r="B25" s="10" t="str">
        <f t="shared" si="0"/>
        <v>20016</v>
      </c>
      <c r="C25" s="1" t="str">
        <f t="shared" si="1"/>
        <v>Monday</v>
      </c>
      <c r="D25" s="1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">
      <c r="A26" s="7" t="s">
        <v>128</v>
      </c>
      <c r="B26" s="10" t="str">
        <f t="shared" si="0"/>
        <v>20018</v>
      </c>
      <c r="C26" s="1" t="str">
        <f t="shared" si="1"/>
        <v>Monday</v>
      </c>
      <c r="D26" s="1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">
      <c r="A27" s="7" t="s">
        <v>129</v>
      </c>
      <c r="B27" s="10" t="str">
        <f t="shared" si="0"/>
        <v>20020</v>
      </c>
      <c r="C27" s="1" t="str">
        <f t="shared" si="1"/>
        <v>Monday</v>
      </c>
      <c r="D27" s="1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">
      <c r="A28" s="7" t="s">
        <v>130</v>
      </c>
      <c r="B28" s="10" t="str">
        <f t="shared" si="0"/>
        <v>20022</v>
      </c>
      <c r="C28" s="1" t="str">
        <f t="shared" si="1"/>
        <v>Monday</v>
      </c>
      <c r="D28" s="1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">
      <c r="A29" s="7" t="s">
        <v>131</v>
      </c>
      <c r="B29" s="10" t="str">
        <f t="shared" si="0"/>
        <v>20024</v>
      </c>
      <c r="C29" s="1" t="str">
        <f t="shared" si="1"/>
        <v>Monday</v>
      </c>
      <c r="D29" s="1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">
      <c r="A30" s="7" t="s">
        <v>132</v>
      </c>
      <c r="B30" s="10" t="str">
        <f t="shared" si="0"/>
        <v>20026</v>
      </c>
      <c r="C30" s="1" t="str">
        <f t="shared" si="1"/>
        <v>Monday</v>
      </c>
      <c r="D30" s="1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">
      <c r="A31" s="7" t="s">
        <v>133</v>
      </c>
      <c r="B31" s="10" t="str">
        <f t="shared" si="0"/>
        <v>20028</v>
      </c>
      <c r="C31" s="1" t="str">
        <f t="shared" si="1"/>
        <v>Monday</v>
      </c>
      <c r="D31" s="1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">
      <c r="A32" s="7" t="s">
        <v>134</v>
      </c>
      <c r="B32" s="10" t="str">
        <f t="shared" si="0"/>
        <v>20030</v>
      </c>
      <c r="C32" s="1" t="str">
        <f t="shared" si="1"/>
        <v>Monday</v>
      </c>
      <c r="D32" s="1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">
      <c r="A33" s="7" t="s">
        <v>135</v>
      </c>
      <c r="B33" s="10" t="str">
        <f t="shared" si="0"/>
        <v>20032</v>
      </c>
      <c r="C33" s="1" t="str">
        <f t="shared" si="1"/>
        <v>Monday</v>
      </c>
      <c r="D33" s="1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">
      <c r="A34" s="7" t="s">
        <v>136</v>
      </c>
      <c r="B34" s="10" t="str">
        <f t="shared" si="0"/>
        <v>20034</v>
      </c>
      <c r="C34" s="1" t="str">
        <f t="shared" si="1"/>
        <v>Monday</v>
      </c>
      <c r="D34" s="1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">
      <c r="A35" s="7" t="s">
        <v>137</v>
      </c>
      <c r="B35" s="10" t="str">
        <f t="shared" si="0"/>
        <v>20036</v>
      </c>
      <c r="C35" s="1" t="str">
        <f t="shared" si="1"/>
        <v>Monday</v>
      </c>
      <c r="D35" s="1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">
      <c r="A36" s="7" t="s">
        <v>138</v>
      </c>
      <c r="B36" s="10" t="str">
        <f t="shared" si="0"/>
        <v>20038</v>
      </c>
      <c r="C36" s="1" t="str">
        <f t="shared" si="1"/>
        <v>Monday</v>
      </c>
      <c r="D36" s="1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">
      <c r="A37" s="7" t="s">
        <v>139</v>
      </c>
      <c r="B37" s="10" t="str">
        <f t="shared" si="0"/>
        <v>20040</v>
      </c>
      <c r="C37" s="1" t="str">
        <f t="shared" si="1"/>
        <v>Monday</v>
      </c>
      <c r="D37" s="1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">
      <c r="A38" s="7" t="s">
        <v>140</v>
      </c>
      <c r="B38" s="10" t="str">
        <f t="shared" si="0"/>
        <v>20042</v>
      </c>
      <c r="C38" s="1" t="str">
        <f t="shared" si="1"/>
        <v>Monday</v>
      </c>
      <c r="D38" s="1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">
      <c r="A39" s="7" t="s">
        <v>141</v>
      </c>
      <c r="B39" s="10" t="str">
        <f t="shared" si="0"/>
        <v>20044</v>
      </c>
      <c r="C39" s="1" t="str">
        <f t="shared" si="1"/>
        <v>Monday</v>
      </c>
      <c r="D39" s="1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">
      <c r="A40" s="7" t="s">
        <v>142</v>
      </c>
      <c r="B40" s="10" t="str">
        <f t="shared" si="0"/>
        <v>20046</v>
      </c>
      <c r="C40" s="1" t="str">
        <f t="shared" si="1"/>
        <v>Monday</v>
      </c>
      <c r="D40" s="1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">
      <c r="A41" s="7" t="s">
        <v>143</v>
      </c>
      <c r="B41" s="10" t="str">
        <f t="shared" si="0"/>
        <v>20048</v>
      </c>
      <c r="C41" s="1" t="str">
        <f t="shared" si="1"/>
        <v>Monday</v>
      </c>
      <c r="D41" s="1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">
      <c r="A42" s="7" t="s">
        <v>144</v>
      </c>
      <c r="B42" s="10" t="str">
        <f t="shared" si="0"/>
        <v>20050</v>
      </c>
      <c r="C42" s="1" t="str">
        <f t="shared" si="1"/>
        <v>Monday</v>
      </c>
      <c r="D42" s="1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">
      <c r="A43" s="7" t="s">
        <v>145</v>
      </c>
      <c r="B43" s="10" t="str">
        <f t="shared" si="0"/>
        <v>20052</v>
      </c>
      <c r="C43" s="1" t="str">
        <f t="shared" si="1"/>
        <v>Monday</v>
      </c>
      <c r="D43" s="1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">
      <c r="A44" s="7" t="s">
        <v>146</v>
      </c>
      <c r="B44" s="10" t="str">
        <f t="shared" si="0"/>
        <v>20054</v>
      </c>
      <c r="C44" s="1" t="str">
        <f t="shared" si="1"/>
        <v>Monday</v>
      </c>
      <c r="D44" s="1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">
      <c r="A45" s="7" t="s">
        <v>147</v>
      </c>
      <c r="B45" s="10" t="str">
        <f t="shared" si="0"/>
        <v>20058</v>
      </c>
      <c r="C45" s="1" t="str">
        <f t="shared" si="1"/>
        <v>Monday</v>
      </c>
      <c r="D45" s="1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">
      <c r="A46" s="7" t="s">
        <v>148</v>
      </c>
      <c r="B46" s="10" t="str">
        <f t="shared" si="0"/>
        <v>20060</v>
      </c>
      <c r="C46" s="1" t="str">
        <f t="shared" si="1"/>
        <v>Monday</v>
      </c>
      <c r="D46" s="1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">
      <c r="A47" s="7" t="s">
        <v>110</v>
      </c>
      <c r="B47" s="10" t="str">
        <f t="shared" si="0"/>
        <v>21000</v>
      </c>
      <c r="C47" s="1" t="str">
        <f t="shared" si="1"/>
        <v>Monday</v>
      </c>
      <c r="D47" s="1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">
      <c r="A48" s="7" t="s">
        <v>111</v>
      </c>
      <c r="B48" s="10" t="str">
        <f t="shared" si="0"/>
        <v>21002</v>
      </c>
      <c r="C48" s="1" t="str">
        <f t="shared" si="1"/>
        <v>Monday</v>
      </c>
      <c r="D48" s="1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">
      <c r="A49" s="7" t="s">
        <v>112</v>
      </c>
      <c r="B49" s="10" t="str">
        <f t="shared" si="0"/>
        <v>21004</v>
      </c>
      <c r="C49" s="1" t="str">
        <f t="shared" si="1"/>
        <v>Monday</v>
      </c>
      <c r="D49" s="1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">
      <c r="A50" s="7" t="s">
        <v>113</v>
      </c>
      <c r="B50" s="10" t="str">
        <f t="shared" si="0"/>
        <v>21006</v>
      </c>
      <c r="C50" s="1" t="str">
        <f t="shared" si="1"/>
        <v>Monday</v>
      </c>
      <c r="D50" s="1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">
      <c r="A51" s="7" t="s">
        <v>114</v>
      </c>
      <c r="B51" s="10" t="str">
        <f t="shared" si="0"/>
        <v>21008</v>
      </c>
      <c r="C51" s="1" t="str">
        <f t="shared" si="1"/>
        <v>Monday</v>
      </c>
      <c r="D51" s="1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">
      <c r="A52" s="7" t="s">
        <v>115</v>
      </c>
      <c r="B52" s="10" t="str">
        <f t="shared" si="0"/>
        <v>21010</v>
      </c>
      <c r="C52" s="1" t="str">
        <f t="shared" si="1"/>
        <v>Monday</v>
      </c>
      <c r="D52" s="1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">
      <c r="A53" s="7" t="s">
        <v>116</v>
      </c>
      <c r="B53" s="10" t="str">
        <f t="shared" si="0"/>
        <v>21012</v>
      </c>
      <c r="C53" s="1" t="str">
        <f t="shared" si="1"/>
        <v>Monday</v>
      </c>
      <c r="D53" s="1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">
      <c r="A54" s="7" t="s">
        <v>117</v>
      </c>
      <c r="B54" s="10" t="str">
        <f t="shared" si="0"/>
        <v>21014</v>
      </c>
      <c r="C54" s="1" t="str">
        <f t="shared" si="1"/>
        <v>Monday</v>
      </c>
      <c r="D54" s="1" t="str">
        <f t="shared" si="2"/>
        <v>0</v>
      </c>
      <c r="E54" s="1" t="str">
        <f t="shared" si="3"/>
        <v>Sunday</v>
      </c>
      <c r="F54" s="10" t="str">
        <f t="shared" si="4"/>
        <v>24</v>
      </c>
    </row>
    <row r="55" spans="1:6" x14ac:dyDescent="0.3">
      <c r="A55" s="8" t="s">
        <v>118</v>
      </c>
      <c r="B55" s="10" t="str">
        <f t="shared" si="0"/>
        <v>21016</v>
      </c>
      <c r="C55" s="1" t="str">
        <f t="shared" si="1"/>
        <v>Monday</v>
      </c>
      <c r="D55" s="1" t="str">
        <f t="shared" si="2"/>
        <v>0</v>
      </c>
      <c r="E55" s="1" t="str">
        <f t="shared" si="3"/>
        <v>Sunday</v>
      </c>
      <c r="F55" s="10" t="str">
        <f t="shared" si="4"/>
        <v>24</v>
      </c>
    </row>
  </sheetData>
  <mergeCells count="1">
    <mergeCell ref="A6:A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4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38" t="s">
        <v>84</v>
      </c>
      <c r="B1" s="37" t="s">
        <v>165</v>
      </c>
    </row>
    <row r="2" spans="1:4" ht="18" x14ac:dyDescent="0.35">
      <c r="B2" s="36" t="s">
        <v>164</v>
      </c>
    </row>
    <row r="5" spans="1:4" ht="14.4" x14ac:dyDescent="0.3">
      <c r="B5" s="1" t="s">
        <v>149</v>
      </c>
    </row>
    <row r="6" spans="1:4" ht="14.4" x14ac:dyDescent="0.3">
      <c r="A6" s="3" t="s">
        <v>53</v>
      </c>
      <c r="B6" s="1" t="s">
        <v>181</v>
      </c>
    </row>
    <row r="7" spans="1:4" ht="14.4" x14ac:dyDescent="0.3">
      <c r="A7" s="3" t="s">
        <v>151</v>
      </c>
      <c r="B7" s="1" t="s">
        <v>182</v>
      </c>
    </row>
    <row r="10" spans="1:4" ht="24" thickBot="1" x14ac:dyDescent="0.5">
      <c r="A10" s="15" t="s">
        <v>160</v>
      </c>
    </row>
    <row r="11" spans="1:4" ht="14.4" x14ac:dyDescent="0.3">
      <c r="A11" s="28" t="s">
        <v>85</v>
      </c>
      <c r="B11" s="14" t="s">
        <v>86</v>
      </c>
      <c r="C11" s="12" t="s">
        <v>87</v>
      </c>
      <c r="D11" s="45" t="s">
        <v>87</v>
      </c>
    </row>
    <row r="12" spans="1:4" ht="14.4" x14ac:dyDescent="0.3">
      <c r="A12" s="28">
        <v>44927</v>
      </c>
      <c r="B12" s="14" t="s">
        <v>59</v>
      </c>
      <c r="C12" s="12">
        <v>200</v>
      </c>
      <c r="D12" s="46">
        <f>IFERROR(C12,20)</f>
        <v>200</v>
      </c>
    </row>
    <row r="13" spans="1:4" ht="14.4" x14ac:dyDescent="0.3">
      <c r="A13" s="28">
        <v>44928</v>
      </c>
      <c r="B13" s="14" t="s">
        <v>60</v>
      </c>
      <c r="C13" s="12" t="e">
        <v>#N/A</v>
      </c>
      <c r="D13" s="46">
        <f t="shared" ref="D13:D21" si="0">IFERROR(C13,20)</f>
        <v>20</v>
      </c>
    </row>
    <row r="14" spans="1:4" ht="14.4" x14ac:dyDescent="0.3">
      <c r="A14" s="28">
        <v>44929</v>
      </c>
      <c r="B14" s="14" t="s">
        <v>61</v>
      </c>
      <c r="C14" s="12">
        <v>50</v>
      </c>
      <c r="D14" s="46">
        <f t="shared" si="0"/>
        <v>50</v>
      </c>
    </row>
    <row r="15" spans="1:4" ht="14.4" x14ac:dyDescent="0.3">
      <c r="A15" s="28">
        <v>44930</v>
      </c>
      <c r="B15" s="14" t="s">
        <v>62</v>
      </c>
      <c r="C15" s="12" t="e">
        <v>#N/A</v>
      </c>
      <c r="D15" s="46">
        <f t="shared" si="0"/>
        <v>20</v>
      </c>
    </row>
    <row r="16" spans="1:4" ht="14.4" x14ac:dyDescent="0.3">
      <c r="A16" s="28">
        <v>44931</v>
      </c>
      <c r="B16" s="14" t="s">
        <v>63</v>
      </c>
      <c r="C16" s="12">
        <v>10</v>
      </c>
      <c r="D16" s="46">
        <f t="shared" si="0"/>
        <v>10</v>
      </c>
    </row>
    <row r="17" spans="1:4" ht="14.4" x14ac:dyDescent="0.3">
      <c r="A17" s="28">
        <v>44932</v>
      </c>
      <c r="B17" s="14" t="s">
        <v>152</v>
      </c>
      <c r="C17" s="12">
        <v>150</v>
      </c>
      <c r="D17" s="46">
        <f t="shared" si="0"/>
        <v>150</v>
      </c>
    </row>
    <row r="18" spans="1:4" ht="14.4" x14ac:dyDescent="0.3">
      <c r="A18" s="28">
        <v>44933</v>
      </c>
      <c r="B18" s="14" t="s">
        <v>153</v>
      </c>
      <c r="C18" s="12">
        <v>80</v>
      </c>
      <c r="D18" s="46">
        <f t="shared" si="0"/>
        <v>80</v>
      </c>
    </row>
    <row r="19" spans="1:4" ht="14.4" x14ac:dyDescent="0.3">
      <c r="A19" s="28">
        <v>44934</v>
      </c>
      <c r="B19" s="14" t="s">
        <v>154</v>
      </c>
      <c r="C19" s="12" t="e">
        <v>#N/A</v>
      </c>
      <c r="D19" s="46">
        <f t="shared" si="0"/>
        <v>20</v>
      </c>
    </row>
    <row r="20" spans="1:4" ht="14.4" x14ac:dyDescent="0.3">
      <c r="A20" s="28">
        <v>44935</v>
      </c>
      <c r="B20" s="14" t="s">
        <v>155</v>
      </c>
      <c r="C20" s="12">
        <v>30</v>
      </c>
      <c r="D20" s="46">
        <f t="shared" si="0"/>
        <v>30</v>
      </c>
    </row>
    <row r="21" spans="1:4" ht="14.4" x14ac:dyDescent="0.3">
      <c r="A21" s="28">
        <v>44936</v>
      </c>
      <c r="B21" s="14" t="s">
        <v>156</v>
      </c>
      <c r="C21" s="12" t="e">
        <v>#N/A</v>
      </c>
      <c r="D21" s="46">
        <f t="shared" si="0"/>
        <v>20</v>
      </c>
    </row>
    <row r="22" spans="1:4" ht="15" thickBot="1" x14ac:dyDescent="0.35">
      <c r="B22" s="14" t="s">
        <v>157</v>
      </c>
      <c r="C22" s="34"/>
      <c r="D22" s="47">
        <f>SUM(D12:D21)</f>
        <v>600</v>
      </c>
    </row>
    <row r="24" spans="1:4" x14ac:dyDescent="0.3">
      <c r="D24" s="2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35"/>
  <sheetViews>
    <sheetView tabSelected="1" zoomScale="70" zoomScaleNormal="70" workbookViewId="0">
      <selection activeCell="K21" sqref="K21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4" ht="21" x14ac:dyDescent="0.4">
      <c r="A1" s="38" t="s">
        <v>97</v>
      </c>
      <c r="B1" s="37" t="s">
        <v>173</v>
      </c>
    </row>
    <row r="3" spans="1:14" ht="14.4" x14ac:dyDescent="0.3">
      <c r="B3" s="1" t="s">
        <v>149</v>
      </c>
    </row>
    <row r="4" spans="1:14" ht="18" x14ac:dyDescent="0.35">
      <c r="A4" s="39" t="s">
        <v>53</v>
      </c>
      <c r="B4" s="1"/>
      <c r="C4" s="2" t="s">
        <v>186</v>
      </c>
    </row>
    <row r="5" spans="1:14" ht="18" x14ac:dyDescent="0.35">
      <c r="A5" s="39" t="s">
        <v>151</v>
      </c>
      <c r="B5" s="1"/>
      <c r="C5" s="2" t="s">
        <v>187</v>
      </c>
    </row>
    <row r="6" spans="1:14" ht="14.4" x14ac:dyDescent="0.3">
      <c r="A6" s="3"/>
      <c r="B6" s="1"/>
      <c r="C6" s="2" t="s">
        <v>188</v>
      </c>
    </row>
    <row r="8" spans="1:14" ht="23.4" x14ac:dyDescent="0.45">
      <c r="A8" s="15" t="s">
        <v>160</v>
      </c>
      <c r="M8" s="15" t="s">
        <v>161</v>
      </c>
    </row>
    <row r="9" spans="1:14" ht="14.4" x14ac:dyDescent="0.3">
      <c r="A9" s="23"/>
      <c r="B9" s="23" t="s">
        <v>88</v>
      </c>
      <c r="C9" s="23" t="s">
        <v>89</v>
      </c>
      <c r="D9" s="23" t="s">
        <v>90</v>
      </c>
      <c r="E9" s="23" t="s">
        <v>91</v>
      </c>
      <c r="F9" s="23" t="s">
        <v>92</v>
      </c>
      <c r="G9" s="23" t="s">
        <v>93</v>
      </c>
      <c r="H9" s="23" t="s">
        <v>94</v>
      </c>
      <c r="I9" s="23" t="s">
        <v>95</v>
      </c>
      <c r="J9" s="23" t="s">
        <v>96</v>
      </c>
      <c r="M9" s="16" t="s">
        <v>43</v>
      </c>
      <c r="N9" s="16" t="s">
        <v>98</v>
      </c>
    </row>
    <row r="10" spans="1:14" ht="14.4" x14ac:dyDescent="0.3">
      <c r="A10" s="23" t="s">
        <v>88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0">
        <v>10100</v>
      </c>
      <c r="N10" s="10" t="s">
        <v>88</v>
      </c>
    </row>
    <row r="11" spans="1:14" ht="14.4" x14ac:dyDescent="0.3">
      <c r="A11" s="23" t="s">
        <v>89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0">
        <v>10102</v>
      </c>
      <c r="N11" s="10" t="s">
        <v>89</v>
      </c>
    </row>
    <row r="12" spans="1:14" ht="14.4" x14ac:dyDescent="0.3">
      <c r="A12" s="23" t="s">
        <v>90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0">
        <v>10104</v>
      </c>
      <c r="N12" s="10" t="s">
        <v>90</v>
      </c>
    </row>
    <row r="13" spans="1:14" ht="14.4" x14ac:dyDescent="0.3">
      <c r="A13" s="23" t="s">
        <v>91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0">
        <v>10106</v>
      </c>
      <c r="N13" s="10" t="s">
        <v>91</v>
      </c>
    </row>
    <row r="14" spans="1:14" ht="14.4" x14ac:dyDescent="0.3">
      <c r="A14" s="23" t="s">
        <v>92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0">
        <v>10108</v>
      </c>
      <c r="N14" s="10" t="s">
        <v>92</v>
      </c>
    </row>
    <row r="15" spans="1:14" ht="14.4" x14ac:dyDescent="0.3">
      <c r="A15" s="23" t="s">
        <v>93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0">
        <v>10110</v>
      </c>
      <c r="N15" s="10" t="s">
        <v>93</v>
      </c>
    </row>
    <row r="16" spans="1:14" ht="14.4" x14ac:dyDescent="0.3">
      <c r="A16" s="23" t="s">
        <v>94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0">
        <v>10112</v>
      </c>
      <c r="N16" s="10" t="s">
        <v>94</v>
      </c>
    </row>
    <row r="17" spans="1:14" ht="14.4" x14ac:dyDescent="0.3">
      <c r="A17" s="23" t="s">
        <v>95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0">
        <v>10114</v>
      </c>
      <c r="N17" s="10" t="s">
        <v>95</v>
      </c>
    </row>
    <row r="18" spans="1:14" ht="14.4" x14ac:dyDescent="0.3">
      <c r="A18" s="23" t="s">
        <v>96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1">
        <v>10116</v>
      </c>
      <c r="N18" s="11" t="s">
        <v>96</v>
      </c>
    </row>
    <row r="21" spans="1:14" ht="23.4" x14ac:dyDescent="0.45">
      <c r="A21" s="15" t="s">
        <v>166</v>
      </c>
    </row>
    <row r="22" spans="1:14" ht="14.4" x14ac:dyDescent="0.3">
      <c r="A22" s="12" t="s">
        <v>99</v>
      </c>
      <c r="B22" s="14" t="s">
        <v>100</v>
      </c>
      <c r="C22" s="14" t="s">
        <v>183</v>
      </c>
      <c r="D22" s="22" t="s">
        <v>184</v>
      </c>
      <c r="E22" s="22" t="s">
        <v>185</v>
      </c>
    </row>
    <row r="23" spans="1:14" ht="14.4" x14ac:dyDescent="0.3">
      <c r="A23" s="7">
        <v>10100</v>
      </c>
      <c r="B23" s="10">
        <v>10102</v>
      </c>
      <c r="C23" s="22" t="str">
        <f>INDEX($N$10:$N$18,MATCH(A23,$M$10:$M$18,0))</f>
        <v>A</v>
      </c>
      <c r="D23" s="22" t="str">
        <f>INDEX($N$10:$N$18,MATCH(B23,$M$10:$M$18,0))</f>
        <v>B</v>
      </c>
      <c r="E23" s="22">
        <f>INDEX($B$10:$J$18, MATCH(C23,$B$9:$J$9,0), MATCH(D23,$A$10:$A$18,0))</f>
        <v>95</v>
      </c>
    </row>
    <row r="24" spans="1:14" ht="14.4" x14ac:dyDescent="0.3">
      <c r="A24" s="7">
        <v>10100</v>
      </c>
      <c r="B24" s="10">
        <v>10104</v>
      </c>
      <c r="C24" s="22" t="str">
        <f t="shared" ref="C24:C35" si="0">INDEX($N$10:$N$18,MATCH(A24,$M$10:$M$18,0))</f>
        <v>A</v>
      </c>
      <c r="D24" s="22" t="str">
        <f t="shared" ref="D24:D35" si="1">INDEX($N$10:$N$18,MATCH(B24,$M$10:$M$18,0))</f>
        <v>C</v>
      </c>
      <c r="E24" s="22">
        <f t="shared" ref="E24:E35" si="2">INDEX($B$10:$J$18, MATCH(C24,$B$9:$J$9,0), MATCH(D24,$A$10:$A$18,0))</f>
        <v>-1</v>
      </c>
    </row>
    <row r="25" spans="1:14" ht="14.4" x14ac:dyDescent="0.3">
      <c r="A25" s="7">
        <v>10108</v>
      </c>
      <c r="B25" s="10">
        <v>10102</v>
      </c>
      <c r="C25" s="22" t="str">
        <f t="shared" si="0"/>
        <v>E</v>
      </c>
      <c r="D25" s="22" t="str">
        <f t="shared" si="1"/>
        <v>B</v>
      </c>
      <c r="E25" s="22">
        <f t="shared" si="2"/>
        <v>160</v>
      </c>
    </row>
    <row r="26" spans="1:14" ht="14.4" x14ac:dyDescent="0.3">
      <c r="A26" s="7">
        <v>10100</v>
      </c>
      <c r="B26" s="10">
        <v>10106</v>
      </c>
      <c r="C26" s="22" t="str">
        <f t="shared" si="0"/>
        <v>A</v>
      </c>
      <c r="D26" s="22" t="str">
        <f t="shared" si="1"/>
        <v>D</v>
      </c>
      <c r="E26" s="22">
        <f t="shared" si="2"/>
        <v>185</v>
      </c>
    </row>
    <row r="27" spans="1:14" ht="14.4" x14ac:dyDescent="0.3">
      <c r="A27" s="7">
        <v>10108</v>
      </c>
      <c r="B27" s="10">
        <v>10110</v>
      </c>
      <c r="C27" s="22" t="str">
        <f t="shared" si="0"/>
        <v>E</v>
      </c>
      <c r="D27" s="22" t="str">
        <f t="shared" si="1"/>
        <v>F</v>
      </c>
      <c r="E27" s="22">
        <f t="shared" si="2"/>
        <v>50</v>
      </c>
    </row>
    <row r="28" spans="1:14" ht="14.4" x14ac:dyDescent="0.3">
      <c r="A28" s="7">
        <v>10102</v>
      </c>
      <c r="B28" s="10">
        <v>10104</v>
      </c>
      <c r="C28" s="22" t="str">
        <f t="shared" si="0"/>
        <v>B</v>
      </c>
      <c r="D28" s="22" t="str">
        <f t="shared" si="1"/>
        <v>C</v>
      </c>
      <c r="E28" s="22">
        <f t="shared" si="2"/>
        <v>-1</v>
      </c>
    </row>
    <row r="29" spans="1:14" ht="14.4" x14ac:dyDescent="0.3">
      <c r="A29" s="7">
        <v>10106</v>
      </c>
      <c r="B29" s="10">
        <v>10108</v>
      </c>
      <c r="C29" s="22" t="str">
        <f t="shared" si="0"/>
        <v>D</v>
      </c>
      <c r="D29" s="22" t="str">
        <f t="shared" si="1"/>
        <v>E</v>
      </c>
      <c r="E29" s="22">
        <f t="shared" si="2"/>
        <v>70</v>
      </c>
    </row>
    <row r="30" spans="1:14" ht="14.4" x14ac:dyDescent="0.3">
      <c r="A30" s="7">
        <v>10102</v>
      </c>
      <c r="B30" s="10">
        <v>10106</v>
      </c>
      <c r="C30" s="22" t="str">
        <f t="shared" si="0"/>
        <v>B</v>
      </c>
      <c r="D30" s="22" t="str">
        <f t="shared" si="1"/>
        <v>D</v>
      </c>
      <c r="E30" s="22">
        <f t="shared" si="2"/>
        <v>90</v>
      </c>
    </row>
    <row r="31" spans="1:14" ht="14.4" x14ac:dyDescent="0.3">
      <c r="A31" s="7">
        <v>10110</v>
      </c>
      <c r="B31" s="10">
        <v>10114</v>
      </c>
      <c r="C31" s="22" t="str">
        <f t="shared" si="0"/>
        <v>F</v>
      </c>
      <c r="D31" s="22" t="str">
        <f t="shared" si="1"/>
        <v>H</v>
      </c>
      <c r="E31" s="22">
        <f t="shared" si="2"/>
        <v>180</v>
      </c>
    </row>
    <row r="32" spans="1:14" ht="14.4" x14ac:dyDescent="0.3">
      <c r="A32" s="7">
        <v>10104</v>
      </c>
      <c r="B32" s="10">
        <v>10106</v>
      </c>
      <c r="C32" s="22" t="str">
        <f t="shared" si="0"/>
        <v>C</v>
      </c>
      <c r="D32" s="22" t="str">
        <f t="shared" si="1"/>
        <v>D</v>
      </c>
      <c r="E32" s="22">
        <f t="shared" si="2"/>
        <v>60</v>
      </c>
    </row>
    <row r="33" spans="1:5" ht="14.4" x14ac:dyDescent="0.3">
      <c r="A33" s="7">
        <v>10110</v>
      </c>
      <c r="B33" s="10">
        <v>10112</v>
      </c>
      <c r="C33" s="22" t="str">
        <f t="shared" si="0"/>
        <v>F</v>
      </c>
      <c r="D33" s="22" t="str">
        <f t="shared" si="1"/>
        <v>G</v>
      </c>
      <c r="E33" s="22">
        <f t="shared" si="2"/>
        <v>115</v>
      </c>
    </row>
    <row r="34" spans="1:5" ht="14.4" x14ac:dyDescent="0.3">
      <c r="A34" s="7">
        <v>10100</v>
      </c>
      <c r="B34" s="10">
        <v>10114</v>
      </c>
      <c r="C34" s="22" t="str">
        <f t="shared" si="0"/>
        <v>A</v>
      </c>
      <c r="D34" s="22" t="str">
        <f t="shared" si="1"/>
        <v>H</v>
      </c>
      <c r="E34" s="22">
        <f t="shared" si="2"/>
        <v>480</v>
      </c>
    </row>
    <row r="35" spans="1:5" ht="14.4" x14ac:dyDescent="0.3">
      <c r="A35" s="8">
        <v>10112</v>
      </c>
      <c r="B35" s="11">
        <v>10116</v>
      </c>
      <c r="C35" s="22" t="str">
        <f t="shared" si="0"/>
        <v>G</v>
      </c>
      <c r="D35" s="22" t="str">
        <f t="shared" si="1"/>
        <v>I</v>
      </c>
      <c r="E35" s="22">
        <f t="shared" si="2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Dhruv Tyagi</cp:lastModifiedBy>
  <dcterms:created xsi:type="dcterms:W3CDTF">2015-02-10T17:33:11Z</dcterms:created>
  <dcterms:modified xsi:type="dcterms:W3CDTF">2023-12-10T18:25:08Z</dcterms:modified>
</cp:coreProperties>
</file>